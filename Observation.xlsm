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Navigation programs\"/>
    </mc:Choice>
  </mc:AlternateContent>
  <bookViews>
    <workbookView xWindow="0" yWindow="0" windowWidth="19095" windowHeight="8520" firstSheet="1" activeTab="1"/>
  </bookViews>
  <sheets>
    <sheet name="TABLE (observations)" sheetId="1" state="hidden" r:id="rId1"/>
    <sheet name="OBSERVATIONS" sheetId="2" r:id="rId2"/>
  </sheets>
  <definedNames>
    <definedName name="_xlnm.Print_Area" localSheetId="1">OBSERVATIONS!$P$35:BP43,OBSERVATIONS!$P$7:Y27</definedName>
  </definedNames>
  <calcPr calcId="162913"/>
</workbook>
</file>

<file path=xl/calcChain.xml><?xml version="1.0" encoding="utf-8"?>
<calcChain xmlns="http://schemas.openxmlformats.org/spreadsheetml/2006/main">
  <c r="Y16" i="2" l="1"/>
  <c r="W16" i="2"/>
  <c r="U16" i="2"/>
  <c r="AH15" i="2"/>
  <c r="AI15" i="2" s="1"/>
  <c r="AO13" i="2"/>
  <c r="AC17" i="2" s="1"/>
  <c r="AO12" i="2"/>
  <c r="U10" i="2"/>
  <c r="U7" i="2"/>
  <c r="K7" i="1" s="1"/>
  <c r="H60" i="1"/>
  <c r="G60" i="1"/>
  <c r="D60" i="1"/>
  <c r="C60" i="1"/>
  <c r="H59" i="1"/>
  <c r="G59" i="1"/>
  <c r="D59" i="1"/>
  <c r="C59" i="1"/>
  <c r="H58" i="1"/>
  <c r="G58" i="1"/>
  <c r="D58" i="1"/>
  <c r="C58" i="1"/>
  <c r="H57" i="1"/>
  <c r="G57" i="1"/>
  <c r="D57" i="1"/>
  <c r="C57" i="1"/>
  <c r="H56" i="1"/>
  <c r="G56" i="1"/>
  <c r="D56" i="1"/>
  <c r="C56" i="1"/>
  <c r="H55" i="1"/>
  <c r="G55" i="1"/>
  <c r="D55" i="1"/>
  <c r="C55" i="1"/>
  <c r="H54" i="1"/>
  <c r="G54" i="1"/>
  <c r="D54" i="1"/>
  <c r="C54" i="1"/>
  <c r="H53" i="1"/>
  <c r="G53" i="1"/>
  <c r="D53" i="1"/>
  <c r="C53" i="1"/>
  <c r="H52" i="1"/>
  <c r="G52" i="1"/>
  <c r="D52" i="1"/>
  <c r="C52" i="1"/>
  <c r="H51" i="1"/>
  <c r="G51" i="1"/>
  <c r="D51" i="1"/>
  <c r="C51" i="1"/>
  <c r="H50" i="1"/>
  <c r="G50" i="1"/>
  <c r="D50" i="1"/>
  <c r="C50" i="1"/>
  <c r="H49" i="1"/>
  <c r="G49" i="1"/>
  <c r="D49" i="1"/>
  <c r="C49" i="1"/>
  <c r="E49" i="1" s="1"/>
  <c r="H48" i="1"/>
  <c r="G48" i="1"/>
  <c r="D48" i="1"/>
  <c r="C48" i="1"/>
  <c r="E48" i="1" s="1"/>
  <c r="H47" i="1"/>
  <c r="G47" i="1"/>
  <c r="D47" i="1"/>
  <c r="C47" i="1"/>
  <c r="E47" i="1" s="1"/>
  <c r="H46" i="1"/>
  <c r="G46" i="1"/>
  <c r="D46" i="1"/>
  <c r="C46" i="1"/>
  <c r="E46" i="1" s="1"/>
  <c r="H45" i="1"/>
  <c r="G45" i="1"/>
  <c r="D45" i="1"/>
  <c r="C45" i="1"/>
  <c r="E45" i="1" s="1"/>
  <c r="H44" i="1"/>
  <c r="G44" i="1"/>
  <c r="D44" i="1"/>
  <c r="C44" i="1"/>
  <c r="E44" i="1" s="1"/>
  <c r="H43" i="1"/>
  <c r="G43" i="1"/>
  <c r="D43" i="1"/>
  <c r="C43" i="1"/>
  <c r="E43" i="1" s="1"/>
  <c r="H42" i="1"/>
  <c r="G42" i="1"/>
  <c r="D42" i="1"/>
  <c r="C42" i="1"/>
  <c r="E42" i="1" s="1"/>
  <c r="H41" i="1"/>
  <c r="G41" i="1"/>
  <c r="D41" i="1"/>
  <c r="C41" i="1"/>
  <c r="E41" i="1" s="1"/>
  <c r="H40" i="1"/>
  <c r="G40" i="1"/>
  <c r="D40" i="1"/>
  <c r="C40" i="1"/>
  <c r="E40" i="1" s="1"/>
  <c r="H39" i="1"/>
  <c r="G39" i="1"/>
  <c r="D39" i="1"/>
  <c r="C39" i="1"/>
  <c r="E39" i="1" s="1"/>
  <c r="H38" i="1"/>
  <c r="G38" i="1"/>
  <c r="D38" i="1"/>
  <c r="C38" i="1"/>
  <c r="E38" i="1" s="1"/>
  <c r="H37" i="1"/>
  <c r="G37" i="1"/>
  <c r="D37" i="1"/>
  <c r="C37" i="1"/>
  <c r="E37" i="1" s="1"/>
  <c r="H36" i="1"/>
  <c r="G36" i="1"/>
  <c r="D36" i="1"/>
  <c r="C36" i="1"/>
  <c r="E36" i="1" s="1"/>
  <c r="H35" i="1"/>
  <c r="G35" i="1"/>
  <c r="D35" i="1"/>
  <c r="C35" i="1"/>
  <c r="E35" i="1" s="1"/>
  <c r="H34" i="1"/>
  <c r="G34" i="1"/>
  <c r="D34" i="1"/>
  <c r="C34" i="1"/>
  <c r="E34" i="1" s="1"/>
  <c r="H33" i="1"/>
  <c r="G33" i="1"/>
  <c r="D33" i="1"/>
  <c r="C33" i="1"/>
  <c r="E33" i="1" s="1"/>
  <c r="H32" i="1"/>
  <c r="G32" i="1"/>
  <c r="D32" i="1"/>
  <c r="C32" i="1"/>
  <c r="E32" i="1" s="1"/>
  <c r="H31" i="1"/>
  <c r="G31" i="1"/>
  <c r="D31" i="1"/>
  <c r="C31" i="1"/>
  <c r="E31" i="1" s="1"/>
  <c r="H30" i="1"/>
  <c r="G30" i="1"/>
  <c r="D30" i="1"/>
  <c r="C30" i="1"/>
  <c r="E30" i="1" s="1"/>
  <c r="H29" i="1"/>
  <c r="G29" i="1"/>
  <c r="D29" i="1"/>
  <c r="C29" i="1"/>
  <c r="E29" i="1" s="1"/>
  <c r="H28" i="1"/>
  <c r="G28" i="1"/>
  <c r="D28" i="1"/>
  <c r="C28" i="1"/>
  <c r="E28" i="1" s="1"/>
  <c r="H27" i="1"/>
  <c r="G27" i="1"/>
  <c r="D27" i="1"/>
  <c r="C27" i="1"/>
  <c r="E27" i="1" s="1"/>
  <c r="H26" i="1"/>
  <c r="G26" i="1"/>
  <c r="D26" i="1"/>
  <c r="C26" i="1"/>
  <c r="E26" i="1" s="1"/>
  <c r="H25" i="1"/>
  <c r="G25" i="1"/>
  <c r="D25" i="1"/>
  <c r="C25" i="1"/>
  <c r="E25" i="1" s="1"/>
  <c r="H24" i="1"/>
  <c r="G24" i="1"/>
  <c r="D24" i="1"/>
  <c r="C24" i="1"/>
  <c r="E24" i="1" s="1"/>
  <c r="H23" i="1"/>
  <c r="G23" i="1"/>
  <c r="D23" i="1"/>
  <c r="C23" i="1"/>
  <c r="E23" i="1" s="1"/>
  <c r="H22" i="1"/>
  <c r="G22" i="1"/>
  <c r="D22" i="1"/>
  <c r="C22" i="1"/>
  <c r="E22" i="1" s="1"/>
  <c r="H21" i="1"/>
  <c r="G21" i="1"/>
  <c r="D21" i="1"/>
  <c r="C21" i="1"/>
  <c r="E21" i="1" s="1"/>
  <c r="H20" i="1"/>
  <c r="G20" i="1"/>
  <c r="D20" i="1"/>
  <c r="C20" i="1"/>
  <c r="E20" i="1" s="1"/>
  <c r="H19" i="1"/>
  <c r="G19" i="1"/>
  <c r="D19" i="1"/>
  <c r="C19" i="1"/>
  <c r="E19" i="1" s="1"/>
  <c r="H18" i="1"/>
  <c r="G18" i="1"/>
  <c r="D18" i="1"/>
  <c r="C18" i="1"/>
  <c r="E18" i="1" s="1"/>
  <c r="H17" i="1"/>
  <c r="G17" i="1"/>
  <c r="D17" i="1"/>
  <c r="C17" i="1"/>
  <c r="E17" i="1" s="1"/>
  <c r="H16" i="1"/>
  <c r="G16" i="1"/>
  <c r="D16" i="1"/>
  <c r="C16" i="1"/>
  <c r="E16" i="1" s="1"/>
  <c r="H15" i="1"/>
  <c r="G15" i="1"/>
  <c r="D15" i="1"/>
  <c r="C15" i="1"/>
  <c r="E15" i="1" s="1"/>
  <c r="H14" i="1"/>
  <c r="G14" i="1"/>
  <c r="D14" i="1"/>
  <c r="C14" i="1"/>
  <c r="E14" i="1" s="1"/>
  <c r="H13" i="1"/>
  <c r="G13" i="1"/>
  <c r="D13" i="1"/>
  <c r="C13" i="1"/>
  <c r="E13" i="1" s="1"/>
  <c r="H12" i="1"/>
  <c r="G12" i="1"/>
  <c r="D12" i="1"/>
  <c r="C12" i="1"/>
  <c r="E12" i="1" s="1"/>
  <c r="H11" i="1"/>
  <c r="G11" i="1"/>
  <c r="D11" i="1"/>
  <c r="C11" i="1"/>
  <c r="E11" i="1" s="1"/>
  <c r="H10" i="1"/>
  <c r="G10" i="1"/>
  <c r="D10" i="1"/>
  <c r="C10" i="1"/>
  <c r="E10" i="1" s="1"/>
  <c r="H9" i="1"/>
  <c r="G9" i="1"/>
  <c r="D9" i="1"/>
  <c r="C9" i="1"/>
  <c r="E9" i="1" s="1"/>
  <c r="H8" i="1"/>
  <c r="G8" i="1"/>
  <c r="D8" i="1"/>
  <c r="C8" i="1"/>
  <c r="E8" i="1" s="1"/>
  <c r="H7" i="1"/>
  <c r="G7" i="1"/>
  <c r="D7" i="1"/>
  <c r="C7" i="1"/>
  <c r="E7" i="1" s="1"/>
  <c r="HD6" i="1"/>
  <c r="FU6" i="1"/>
  <c r="EN6" i="1"/>
  <c r="DG6" i="1"/>
  <c r="BH6" i="1"/>
  <c r="BG6" i="1"/>
  <c r="BE6" i="1"/>
  <c r="K6" i="1"/>
  <c r="HE6" i="1" s="1"/>
  <c r="H6" i="1"/>
  <c r="G6" i="1"/>
  <c r="D6" i="1"/>
  <c r="C6" i="1"/>
  <c r="E6" i="1" s="1"/>
  <c r="HD5" i="1"/>
  <c r="FU5" i="1"/>
  <c r="EN5" i="1"/>
  <c r="DG5" i="1"/>
  <c r="BH5" i="1"/>
  <c r="BG5" i="1"/>
  <c r="BE5" i="1"/>
  <c r="K5" i="1"/>
  <c r="HE5" i="1" s="1"/>
  <c r="H5" i="1"/>
  <c r="G5" i="1"/>
  <c r="D5" i="1"/>
  <c r="C5" i="1"/>
  <c r="E5" i="1" s="1"/>
  <c r="HD4" i="1"/>
  <c r="FU4" i="1"/>
  <c r="EN4" i="1"/>
  <c r="DG4" i="1"/>
  <c r="BH4" i="1"/>
  <c r="BG4" i="1"/>
  <c r="BE4" i="1"/>
  <c r="K4" i="1"/>
  <c r="DH4" i="1" s="1"/>
  <c r="H4" i="1"/>
  <c r="G4" i="1"/>
  <c r="D4" i="1"/>
  <c r="C4" i="1"/>
  <c r="E4" i="1" s="1"/>
  <c r="F50" i="1" l="1"/>
  <c r="F51" i="1"/>
  <c r="J51" i="1" s="1"/>
  <c r="AA58" i="1" s="1"/>
  <c r="AI58" i="1" s="1"/>
  <c r="F53" i="1"/>
  <c r="J53" i="1" s="1"/>
  <c r="AA60" i="1" s="1"/>
  <c r="AI60" i="1" s="1"/>
  <c r="F55" i="1"/>
  <c r="J55" i="1" s="1"/>
  <c r="AA63" i="1" s="1"/>
  <c r="AI63" i="1" s="1"/>
  <c r="F58" i="1"/>
  <c r="F59" i="1"/>
  <c r="J59" i="1" s="1"/>
  <c r="AA67" i="1" s="1"/>
  <c r="AI67" i="1" s="1"/>
  <c r="F52" i="1"/>
  <c r="J52" i="1" s="1"/>
  <c r="AA59" i="1" s="1"/>
  <c r="AI59" i="1" s="1"/>
  <c r="F54" i="1"/>
  <c r="J54" i="1" s="1"/>
  <c r="AA62" i="1" s="1"/>
  <c r="AI62" i="1" s="1"/>
  <c r="F56" i="1"/>
  <c r="F57" i="1"/>
  <c r="F60" i="1"/>
  <c r="E50" i="1"/>
  <c r="I50" i="1" s="1"/>
  <c r="E51" i="1"/>
  <c r="E52" i="1"/>
  <c r="I52" i="1" s="1"/>
  <c r="E53" i="1"/>
  <c r="E54" i="1"/>
  <c r="I54" i="1" s="1"/>
  <c r="E55" i="1"/>
  <c r="E56" i="1"/>
  <c r="E57" i="1"/>
  <c r="I57" i="1" s="1"/>
  <c r="E58" i="1"/>
  <c r="I58" i="1" s="1"/>
  <c r="E59" i="1"/>
  <c r="E60" i="1"/>
  <c r="I60" i="1" s="1"/>
  <c r="F4" i="1"/>
  <c r="J4" i="1" s="1"/>
  <c r="AA9" i="1" s="1"/>
  <c r="AI9" i="1" s="1"/>
  <c r="F5" i="1"/>
  <c r="J5" i="1" s="1"/>
  <c r="AA10" i="1" s="1"/>
  <c r="AI10" i="1" s="1"/>
  <c r="F6" i="1"/>
  <c r="F7" i="1"/>
  <c r="F8" i="1"/>
  <c r="J8" i="1" s="1"/>
  <c r="AA13" i="1" s="1"/>
  <c r="AI13" i="1" s="1"/>
  <c r="F9" i="1"/>
  <c r="J9" i="1" s="1"/>
  <c r="AA14" i="1" s="1"/>
  <c r="AI14" i="1" s="1"/>
  <c r="F10" i="1"/>
  <c r="F11" i="1"/>
  <c r="J11" i="1" s="1"/>
  <c r="AA16" i="1" s="1"/>
  <c r="AI16" i="1" s="1"/>
  <c r="F12" i="1"/>
  <c r="J12" i="1" s="1"/>
  <c r="AA17" i="1" s="1"/>
  <c r="AI17" i="1" s="1"/>
  <c r="F13" i="1"/>
  <c r="J13" i="1" s="1"/>
  <c r="AA18" i="1" s="1"/>
  <c r="AI18" i="1" s="1"/>
  <c r="F14" i="1"/>
  <c r="F15" i="1"/>
  <c r="F16" i="1"/>
  <c r="J16" i="1" s="1"/>
  <c r="AA21" i="1" s="1"/>
  <c r="AI21" i="1" s="1"/>
  <c r="F17" i="1"/>
  <c r="J17" i="1" s="1"/>
  <c r="AA22" i="1" s="1"/>
  <c r="AI22" i="1" s="1"/>
  <c r="F18" i="1"/>
  <c r="F19" i="1"/>
  <c r="F20" i="1"/>
  <c r="J20" i="1" s="1"/>
  <c r="AA25" i="1" s="1"/>
  <c r="AI25" i="1" s="1"/>
  <c r="F21" i="1"/>
  <c r="J21" i="1" s="1"/>
  <c r="AA26" i="1" s="1"/>
  <c r="AI26" i="1" s="1"/>
  <c r="F22" i="1"/>
  <c r="F23" i="1"/>
  <c r="F24" i="1"/>
  <c r="F25" i="1"/>
  <c r="J25" i="1" s="1"/>
  <c r="AA30" i="1" s="1"/>
  <c r="AI30" i="1" s="1"/>
  <c r="F26" i="1"/>
  <c r="F27" i="1"/>
  <c r="J27" i="1" s="1"/>
  <c r="AA32" i="1" s="1"/>
  <c r="AI32" i="1" s="1"/>
  <c r="F28" i="1"/>
  <c r="J28" i="1" s="1"/>
  <c r="AA33" i="1" s="1"/>
  <c r="AI33" i="1" s="1"/>
  <c r="F29" i="1"/>
  <c r="J29" i="1" s="1"/>
  <c r="AA34" i="1" s="1"/>
  <c r="AI34" i="1" s="1"/>
  <c r="F30" i="1"/>
  <c r="F31" i="1"/>
  <c r="J31" i="1" s="1"/>
  <c r="AA36" i="1" s="1"/>
  <c r="AI36" i="1" s="1"/>
  <c r="F32" i="1"/>
  <c r="J32" i="1" s="1"/>
  <c r="AA37" i="1" s="1"/>
  <c r="AI37" i="1" s="1"/>
  <c r="F33" i="1"/>
  <c r="J33" i="1" s="1"/>
  <c r="AA38" i="1" s="1"/>
  <c r="AI38" i="1" s="1"/>
  <c r="F34" i="1"/>
  <c r="F35" i="1"/>
  <c r="J35" i="1" s="1"/>
  <c r="AA40" i="1" s="1"/>
  <c r="AI40" i="1" s="1"/>
  <c r="F36" i="1"/>
  <c r="J36" i="1" s="1"/>
  <c r="AA41" i="1" s="1"/>
  <c r="AI41" i="1" s="1"/>
  <c r="F37" i="1"/>
  <c r="J37" i="1" s="1"/>
  <c r="AA42" i="1" s="1"/>
  <c r="AI42" i="1" s="1"/>
  <c r="F38" i="1"/>
  <c r="F39" i="1"/>
  <c r="J39" i="1" s="1"/>
  <c r="AA45" i="1" s="1"/>
  <c r="AI45" i="1" s="1"/>
  <c r="F40" i="1"/>
  <c r="J40" i="1" s="1"/>
  <c r="AA46" i="1" s="1"/>
  <c r="AI46" i="1" s="1"/>
  <c r="F41" i="1"/>
  <c r="J41" i="1" s="1"/>
  <c r="AA48" i="1" s="1"/>
  <c r="AI48" i="1" s="1"/>
  <c r="F42" i="1"/>
  <c r="F43" i="1"/>
  <c r="J43" i="1" s="1"/>
  <c r="AA50" i="1" s="1"/>
  <c r="AI50" i="1" s="1"/>
  <c r="F44" i="1"/>
  <c r="J44" i="1" s="1"/>
  <c r="AA51" i="1" s="1"/>
  <c r="AI51" i="1" s="1"/>
  <c r="F45" i="1"/>
  <c r="J45" i="1" s="1"/>
  <c r="AA52" i="1" s="1"/>
  <c r="AI52" i="1" s="1"/>
  <c r="F46" i="1"/>
  <c r="F47" i="1"/>
  <c r="J47" i="1" s="1"/>
  <c r="AA54" i="1" s="1"/>
  <c r="AI54" i="1" s="1"/>
  <c r="F48" i="1"/>
  <c r="J48" i="1" s="1"/>
  <c r="AA55" i="1" s="1"/>
  <c r="AI55" i="1" s="1"/>
  <c r="F49" i="1"/>
  <c r="J49" i="1" s="1"/>
  <c r="AA56" i="1" s="1"/>
  <c r="AI56" i="1" s="1"/>
  <c r="I9" i="1"/>
  <c r="I11" i="1"/>
  <c r="I13" i="1"/>
  <c r="I15" i="1"/>
  <c r="I17" i="1"/>
  <c r="I19" i="1"/>
  <c r="I21" i="1"/>
  <c r="I23" i="1"/>
  <c r="I25" i="1"/>
  <c r="I27" i="1"/>
  <c r="I29" i="1"/>
  <c r="I31" i="1"/>
  <c r="I33" i="1"/>
  <c r="I35" i="1"/>
  <c r="I37" i="1"/>
  <c r="I39" i="1"/>
  <c r="I41" i="1"/>
  <c r="I43" i="1"/>
  <c r="I45" i="1"/>
  <c r="I47" i="1"/>
  <c r="I49" i="1"/>
  <c r="I51" i="1"/>
  <c r="I53" i="1"/>
  <c r="I55" i="1"/>
  <c r="I59" i="1"/>
  <c r="I8" i="1"/>
  <c r="I10" i="1"/>
  <c r="I12" i="1"/>
  <c r="I14" i="1"/>
  <c r="I16" i="1"/>
  <c r="I18" i="1"/>
  <c r="I20" i="1"/>
  <c r="I22" i="1"/>
  <c r="I24" i="1"/>
  <c r="I26" i="1"/>
  <c r="I28" i="1"/>
  <c r="I30" i="1"/>
  <c r="I32" i="1"/>
  <c r="I34" i="1"/>
  <c r="I36" i="1"/>
  <c r="I38" i="1"/>
  <c r="I40" i="1"/>
  <c r="I42" i="1"/>
  <c r="I44" i="1"/>
  <c r="I46" i="1"/>
  <c r="I48" i="1"/>
  <c r="I56" i="1"/>
  <c r="AC19" i="2"/>
  <c r="U18" i="2" s="1"/>
  <c r="W18" i="2" s="1"/>
  <c r="J6" i="1"/>
  <c r="AA11" i="1" s="1"/>
  <c r="AI11" i="1" s="1"/>
  <c r="J7" i="1"/>
  <c r="AA12" i="1" s="1"/>
  <c r="AI12" i="1" s="1"/>
  <c r="J60" i="1"/>
  <c r="AA69" i="1" s="1"/>
  <c r="AI69" i="1" s="1"/>
  <c r="P13" i="2"/>
  <c r="P15" i="2"/>
  <c r="P18" i="2"/>
  <c r="P17" i="2"/>
  <c r="I4" i="1"/>
  <c r="I5" i="1"/>
  <c r="I6" i="1"/>
  <c r="I7" i="1"/>
  <c r="J10" i="1"/>
  <c r="AA15" i="1" s="1"/>
  <c r="AI15" i="1" s="1"/>
  <c r="J14" i="1"/>
  <c r="AA19" i="1" s="1"/>
  <c r="AI19" i="1" s="1"/>
  <c r="J15" i="1"/>
  <c r="AA20" i="1" s="1"/>
  <c r="AI20" i="1" s="1"/>
  <c r="J18" i="1"/>
  <c r="AA23" i="1" s="1"/>
  <c r="AI23" i="1" s="1"/>
  <c r="J19" i="1"/>
  <c r="AA24" i="1" s="1"/>
  <c r="AI24" i="1" s="1"/>
  <c r="J30" i="1"/>
  <c r="AA35" i="1" s="1"/>
  <c r="AI35" i="1" s="1"/>
  <c r="J34" i="1"/>
  <c r="AA39" i="1" s="1"/>
  <c r="AI39" i="1" s="1"/>
  <c r="J38" i="1"/>
  <c r="AA44" i="1" s="1"/>
  <c r="AI44" i="1" s="1"/>
  <c r="J42" i="1"/>
  <c r="AA49" i="1" s="1"/>
  <c r="AI49" i="1" s="1"/>
  <c r="J46" i="1"/>
  <c r="AA53" i="1" s="1"/>
  <c r="AI53" i="1" s="1"/>
  <c r="J50" i="1"/>
  <c r="AA57" i="1" s="1"/>
  <c r="AI57" i="1" s="1"/>
  <c r="J56" i="1"/>
  <c r="AA64" i="1" s="1"/>
  <c r="AI64" i="1" s="1"/>
  <c r="J57" i="1"/>
  <c r="AA65" i="1" s="1"/>
  <c r="AI65" i="1" s="1"/>
  <c r="J58" i="1"/>
  <c r="AA66" i="1" s="1"/>
  <c r="AI66" i="1" s="1"/>
  <c r="J22" i="1"/>
  <c r="AA27" i="1" s="1"/>
  <c r="AI27" i="1" s="1"/>
  <c r="J23" i="1"/>
  <c r="AA28" i="1" s="1"/>
  <c r="AI28" i="1" s="1"/>
  <c r="J24" i="1"/>
  <c r="AA29" i="1" s="1"/>
  <c r="AI29" i="1" s="1"/>
  <c r="J26" i="1"/>
  <c r="AA31" i="1" s="1"/>
  <c r="AI31" i="1" s="1"/>
  <c r="M4" i="1"/>
  <c r="Q4" i="1"/>
  <c r="AB4" i="1" s="1"/>
  <c r="W4" i="1"/>
  <c r="AK4" i="1"/>
  <c r="AN4" i="1"/>
  <c r="AP4" i="1"/>
  <c r="BD4" i="1"/>
  <c r="BF4" i="1"/>
  <c r="DD4" i="1"/>
  <c r="DF4" i="1"/>
  <c r="HV4" i="1"/>
  <c r="HF4" i="1"/>
  <c r="HB4" i="1"/>
  <c r="FV4" i="1"/>
  <c r="FT4" i="1"/>
  <c r="FR4" i="1"/>
  <c r="FB4" i="1"/>
  <c r="EP4" i="1"/>
  <c r="EL4" i="1"/>
  <c r="HE4" i="1"/>
  <c r="HC4" i="1"/>
  <c r="HA4" i="1"/>
  <c r="GK4" i="1"/>
  <c r="FW4" i="1"/>
  <c r="FS4" i="1"/>
  <c r="EO4" i="1"/>
  <c r="EM4" i="1"/>
  <c r="EK4" i="1"/>
  <c r="DU4" i="1"/>
  <c r="L4" i="1"/>
  <c r="AM4" i="1"/>
  <c r="BI4" i="1"/>
  <c r="DE4" i="1"/>
  <c r="DI4" i="1"/>
  <c r="DJ4" i="1" s="1"/>
  <c r="DK4" i="1" s="1"/>
  <c r="L5" i="1"/>
  <c r="AM5" i="1"/>
  <c r="AP5" i="1"/>
  <c r="BD5" i="1"/>
  <c r="BF5" i="1"/>
  <c r="DD5" i="1"/>
  <c r="DF5" i="1"/>
  <c r="DH5" i="1"/>
  <c r="EL5" i="1"/>
  <c r="EP5" i="1"/>
  <c r="FB5" i="1"/>
  <c r="FR5" i="1"/>
  <c r="FT5" i="1"/>
  <c r="FV5" i="1"/>
  <c r="HB5" i="1"/>
  <c r="HF5" i="1"/>
  <c r="HG5" i="1" s="1"/>
  <c r="HH5" i="1" s="1"/>
  <c r="HV5" i="1"/>
  <c r="M6" i="1"/>
  <c r="Q6" i="1"/>
  <c r="AB6" i="1" s="1"/>
  <c r="W6" i="1"/>
  <c r="AK6" i="1"/>
  <c r="AN6" i="1"/>
  <c r="AP6" i="1"/>
  <c r="BD6" i="1"/>
  <c r="BF6" i="1"/>
  <c r="DD6" i="1"/>
  <c r="DF6" i="1"/>
  <c r="DH6" i="1"/>
  <c r="EL6" i="1"/>
  <c r="EP6" i="1"/>
  <c r="FB6" i="1"/>
  <c r="FR6" i="1"/>
  <c r="FT6" i="1"/>
  <c r="FV6" i="1"/>
  <c r="HB6" i="1"/>
  <c r="HF6" i="1"/>
  <c r="HG6" i="1" s="1"/>
  <c r="HH6" i="1" s="1"/>
  <c r="HV6" i="1"/>
  <c r="M5" i="1"/>
  <c r="Q5" i="1"/>
  <c r="AB5" i="1" s="1"/>
  <c r="W5" i="1"/>
  <c r="AK5" i="1"/>
  <c r="AN5" i="1"/>
  <c r="BI5" i="1"/>
  <c r="DE5" i="1"/>
  <c r="DI5" i="1"/>
  <c r="DU5" i="1"/>
  <c r="EK5" i="1"/>
  <c r="EM5" i="1"/>
  <c r="EO5" i="1"/>
  <c r="FS5" i="1"/>
  <c r="FW5" i="1"/>
  <c r="GK5" i="1"/>
  <c r="HA5" i="1"/>
  <c r="HC5" i="1"/>
  <c r="L6" i="1"/>
  <c r="AM6" i="1"/>
  <c r="BI6" i="1"/>
  <c r="DE6" i="1"/>
  <c r="DI6" i="1"/>
  <c r="DU6" i="1"/>
  <c r="EK6" i="1"/>
  <c r="EM6" i="1"/>
  <c r="EO6" i="1"/>
  <c r="FS6" i="1"/>
  <c r="FW6" i="1"/>
  <c r="GK6" i="1"/>
  <c r="HA6" i="1"/>
  <c r="HC6" i="1"/>
  <c r="AJ17" i="2"/>
  <c r="AH17" i="2"/>
  <c r="AI17" i="2"/>
  <c r="DJ6" i="1" l="1"/>
  <c r="DK6" i="1" s="1"/>
  <c r="DJ5" i="1"/>
  <c r="DK5" i="1" s="1"/>
  <c r="BU5" i="1"/>
  <c r="GG6" i="1"/>
  <c r="HT6" i="1"/>
  <c r="HP6" i="1"/>
  <c r="FX6" i="1"/>
  <c r="FY6" i="1" s="1"/>
  <c r="BV6" i="1"/>
  <c r="BJ6" i="1"/>
  <c r="AG6" i="1"/>
  <c r="GG5" i="1"/>
  <c r="HT5" i="1"/>
  <c r="HP5" i="1"/>
  <c r="FX5" i="1"/>
  <c r="FY5" i="1" s="1"/>
  <c r="BV5" i="1"/>
  <c r="BJ5" i="1"/>
  <c r="AG5" i="1"/>
  <c r="HI5" i="1"/>
  <c r="HK5" i="1" s="1"/>
  <c r="BU4" i="1"/>
  <c r="AO4" i="1"/>
  <c r="AQ4" i="1" s="1"/>
  <c r="X4" i="1"/>
  <c r="Y4" i="1" s="1"/>
  <c r="Z4" i="1" s="1"/>
  <c r="P4" i="1"/>
  <c r="N4" i="1"/>
  <c r="O4" i="1"/>
  <c r="O5" i="1"/>
  <c r="X5" i="1"/>
  <c r="Y5" i="1" s="1"/>
  <c r="P5" i="1"/>
  <c r="N5" i="1"/>
  <c r="EQ6" i="1"/>
  <c r="ER6" i="1" s="1"/>
  <c r="BU6" i="1"/>
  <c r="AO6" i="1"/>
  <c r="AQ6" i="1" s="1"/>
  <c r="X6" i="1"/>
  <c r="Y6" i="1" s="1"/>
  <c r="Z6" i="1" s="1"/>
  <c r="AE6" i="1" s="1"/>
  <c r="P6" i="1"/>
  <c r="N6" i="1"/>
  <c r="O6" i="1"/>
  <c r="EQ5" i="1"/>
  <c r="ER5" i="1" s="1"/>
  <c r="AQ5" i="1"/>
  <c r="AR5" i="1"/>
  <c r="HI6" i="1"/>
  <c r="HJ6" i="1" s="1"/>
  <c r="BV4" i="1"/>
  <c r="BJ4" i="1"/>
  <c r="AG4" i="1"/>
  <c r="HT4" i="1"/>
  <c r="HP4" i="1"/>
  <c r="FX4" i="1"/>
  <c r="FY4" i="1" s="1"/>
  <c r="GG4" i="1"/>
  <c r="EQ4" i="1"/>
  <c r="ER4" i="1" s="1"/>
  <c r="HG4" i="1"/>
  <c r="HH4" i="1" s="1"/>
  <c r="DL4" i="1"/>
  <c r="DN4" i="1" s="1"/>
  <c r="DL6" i="1" l="1"/>
  <c r="DN6" i="1" s="1"/>
  <c r="HJ5" i="1"/>
  <c r="HM5" i="1" s="1"/>
  <c r="FZ5" i="1"/>
  <c r="GA5" i="1" s="1"/>
  <c r="DL5" i="1"/>
  <c r="DN5" i="1" s="1"/>
  <c r="FZ6" i="1"/>
  <c r="GA6" i="1" s="1"/>
  <c r="FZ4" i="1"/>
  <c r="GA4" i="1" s="1"/>
  <c r="AE4" i="1"/>
  <c r="AC4" i="1"/>
  <c r="T7" i="1" s="1"/>
  <c r="AA7" i="1" s="1"/>
  <c r="AD4" i="1"/>
  <c r="DM4" i="1"/>
  <c r="DP4" i="1" s="1"/>
  <c r="ES4" i="1"/>
  <c r="ET4" i="1" s="1"/>
  <c r="BW4" i="1"/>
  <c r="BY4" i="1" s="1"/>
  <c r="BZ4" i="1" s="1"/>
  <c r="CA4" i="1" s="1"/>
  <c r="CB4" i="1" s="1"/>
  <c r="CC4" i="1" s="1"/>
  <c r="CD4" i="1" s="1"/>
  <c r="CE4" i="1" s="1"/>
  <c r="CF4" i="1" s="1"/>
  <c r="CG4" i="1" s="1"/>
  <c r="CH4" i="1" s="1"/>
  <c r="BX4" i="1"/>
  <c r="HI4" i="1"/>
  <c r="HK4" i="1" s="1"/>
  <c r="BK4" i="1"/>
  <c r="BL4" i="1"/>
  <c r="R6" i="1"/>
  <c r="S6" i="1"/>
  <c r="T6" i="1" s="1"/>
  <c r="AA6" i="1"/>
  <c r="HK6" i="1"/>
  <c r="AR6" i="1"/>
  <c r="AT6" i="1" s="1"/>
  <c r="R4" i="1"/>
  <c r="S4" i="1"/>
  <c r="T4" i="1" s="1"/>
  <c r="AA4" i="1"/>
  <c r="AR4" i="1"/>
  <c r="AS4" i="1" s="1"/>
  <c r="AU4" i="1" s="1"/>
  <c r="AC6" i="1"/>
  <c r="V7" i="1" s="1"/>
  <c r="BK5" i="1"/>
  <c r="BL5" i="1"/>
  <c r="BK6" i="1"/>
  <c r="BL6" i="1"/>
  <c r="DM6" i="1"/>
  <c r="DO6" i="1" s="1"/>
  <c r="AS5" i="1"/>
  <c r="AU5" i="1" s="1"/>
  <c r="AT5" i="1"/>
  <c r="S5" i="1"/>
  <c r="T5" i="1" s="1"/>
  <c r="R5" i="1"/>
  <c r="Z5" i="1"/>
  <c r="AA5" i="1" s="1"/>
  <c r="AD6" i="1"/>
  <c r="AF6" i="1" s="1"/>
  <c r="AH6" i="1" s="1"/>
  <c r="S7" i="1" s="1"/>
  <c r="BW5" i="1"/>
  <c r="BY5" i="1" s="1"/>
  <c r="BZ5" i="1" s="1"/>
  <c r="CA5" i="1" s="1"/>
  <c r="CB5" i="1" s="1"/>
  <c r="CC5" i="1" s="1"/>
  <c r="CD5" i="1" s="1"/>
  <c r="CE5" i="1" s="1"/>
  <c r="CF5" i="1" s="1"/>
  <c r="CG5" i="1" s="1"/>
  <c r="CH5" i="1" s="1"/>
  <c r="BX5" i="1"/>
  <c r="ES5" i="1"/>
  <c r="ET5" i="1" s="1"/>
  <c r="BW6" i="1"/>
  <c r="BY6" i="1" s="1"/>
  <c r="BZ6" i="1" s="1"/>
  <c r="CA6" i="1" s="1"/>
  <c r="CB6" i="1" s="1"/>
  <c r="CC6" i="1" s="1"/>
  <c r="CD6" i="1" s="1"/>
  <c r="CE6" i="1" s="1"/>
  <c r="CF6" i="1" s="1"/>
  <c r="CG6" i="1" s="1"/>
  <c r="CH6" i="1" s="1"/>
  <c r="BX6" i="1"/>
  <c r="ES6" i="1"/>
  <c r="ET6" i="1" s="1"/>
  <c r="GB5" i="1" l="1"/>
  <c r="GE5" i="1" s="1"/>
  <c r="HN5" i="1"/>
  <c r="DM5" i="1"/>
  <c r="DO5" i="1" s="1"/>
  <c r="AF4" i="1"/>
  <c r="AH4" i="1" s="1"/>
  <c r="Q7" i="1" s="1"/>
  <c r="Y7" i="1" s="1"/>
  <c r="AJ7" i="1" s="1"/>
  <c r="HL5" i="1"/>
  <c r="HO5" i="1" s="1"/>
  <c r="HQ5" i="1" s="1"/>
  <c r="HJ4" i="1"/>
  <c r="HM4" i="1" s="1"/>
  <c r="GB6" i="1"/>
  <c r="GD6" i="1" s="1"/>
  <c r="GB4" i="1"/>
  <c r="GD4" i="1" s="1"/>
  <c r="CL4" i="1"/>
  <c r="CM4" i="1" s="1"/>
  <c r="CN4" i="1" s="1"/>
  <c r="CO4" i="1" s="1"/>
  <c r="CP4" i="1" s="1"/>
  <c r="CI6" i="1"/>
  <c r="CJ6" i="1" s="1"/>
  <c r="CL5" i="1"/>
  <c r="CM5" i="1" s="1"/>
  <c r="CN5" i="1" s="1"/>
  <c r="CO5" i="1" s="1"/>
  <c r="CP5" i="1" s="1"/>
  <c r="DQ4" i="1"/>
  <c r="U5" i="1"/>
  <c r="V5" i="1" s="1"/>
  <c r="R70" i="1" s="1"/>
  <c r="EU5" i="1"/>
  <c r="EW5" i="1" s="1"/>
  <c r="U6" i="1"/>
  <c r="V6" i="1" s="1"/>
  <c r="S70" i="1" s="1"/>
  <c r="DO4" i="1"/>
  <c r="DS4" i="1" s="1"/>
  <c r="DT4" i="1" s="1"/>
  <c r="DX4" i="1" s="1"/>
  <c r="EC4" i="1" s="1"/>
  <c r="CL6" i="1"/>
  <c r="CM6" i="1" s="1"/>
  <c r="CN6" i="1" s="1"/>
  <c r="CO6" i="1" s="1"/>
  <c r="CP6" i="1" s="1"/>
  <c r="CI5" i="1"/>
  <c r="CJ5" i="1" s="1"/>
  <c r="EU6" i="1"/>
  <c r="IA5" i="1"/>
  <c r="GO5" i="1"/>
  <c r="FG5" i="1"/>
  <c r="DY5" i="1"/>
  <c r="AW5" i="1"/>
  <c r="HZ5" i="1"/>
  <c r="GP5" i="1"/>
  <c r="FF5" i="1"/>
  <c r="DZ5" i="1"/>
  <c r="AV5" i="1"/>
  <c r="AX5" i="1" s="1"/>
  <c r="BM6" i="1"/>
  <c r="BN6" i="1"/>
  <c r="AT4" i="1"/>
  <c r="U4" i="1"/>
  <c r="V4" i="1" s="1"/>
  <c r="HM6" i="1"/>
  <c r="HN6" i="1"/>
  <c r="HL6" i="1"/>
  <c r="AS6" i="1"/>
  <c r="AU6" i="1" s="1"/>
  <c r="IA6" i="1" s="1"/>
  <c r="CI4" i="1"/>
  <c r="CJ4" i="1" s="1"/>
  <c r="EU4" i="1"/>
  <c r="AI7" i="1"/>
  <c r="DP6" i="1"/>
  <c r="DS6" i="1" s="1"/>
  <c r="DQ6" i="1"/>
  <c r="AE5" i="1"/>
  <c r="AC5" i="1"/>
  <c r="U7" i="1" s="1"/>
  <c r="AD5" i="1"/>
  <c r="BM5" i="1"/>
  <c r="BN5" i="1"/>
  <c r="BM4" i="1"/>
  <c r="BN4" i="1"/>
  <c r="GD5" i="1" l="1"/>
  <c r="GC5" i="1"/>
  <c r="GC6" i="1"/>
  <c r="DQ5" i="1"/>
  <c r="DP5" i="1"/>
  <c r="DS5" i="1" s="1"/>
  <c r="HR5" i="1"/>
  <c r="HS5" i="1" s="1"/>
  <c r="HU5" i="1" s="1"/>
  <c r="HY5" i="1" s="1"/>
  <c r="ID5" i="1" s="1"/>
  <c r="GC4" i="1"/>
  <c r="GF4" i="1" s="1"/>
  <c r="GH4" i="1" s="1"/>
  <c r="HN4" i="1"/>
  <c r="HL4" i="1"/>
  <c r="HR4" i="1" s="1"/>
  <c r="GE4" i="1"/>
  <c r="DR4" i="1"/>
  <c r="DW4" i="1" s="1"/>
  <c r="GE6" i="1"/>
  <c r="AE7" i="1"/>
  <c r="EX5" i="1"/>
  <c r="EV5" i="1"/>
  <c r="EZ5" i="1" s="1"/>
  <c r="DT6" i="1"/>
  <c r="DX6" i="1" s="1"/>
  <c r="EC6" i="1" s="1"/>
  <c r="BQ4" i="1"/>
  <c r="BO4" i="1"/>
  <c r="CR4" i="1"/>
  <c r="CS4" i="1" s="1"/>
  <c r="BP4" i="1"/>
  <c r="BQ5" i="1"/>
  <c r="BO5" i="1"/>
  <c r="CR5" i="1"/>
  <c r="CS5" i="1" s="1"/>
  <c r="BP5" i="1"/>
  <c r="AF5" i="1"/>
  <c r="AH5" i="1" s="1"/>
  <c r="R7" i="1" s="1"/>
  <c r="AN7" i="1"/>
  <c r="AK7" i="1"/>
  <c r="HO6" i="1"/>
  <c r="HQ6" i="1" s="1"/>
  <c r="HR6" i="1"/>
  <c r="HS6" i="1" s="1"/>
  <c r="HU6" i="1" s="1"/>
  <c r="HY6" i="1" s="1"/>
  <c r="ID6" i="1" s="1"/>
  <c r="Q70" i="1"/>
  <c r="Y66" i="1"/>
  <c r="Y64" i="1"/>
  <c r="Y69" i="1"/>
  <c r="Y67" i="1"/>
  <c r="Y65" i="1"/>
  <c r="Y63" i="1"/>
  <c r="Y59" i="1"/>
  <c r="Y57" i="1"/>
  <c r="Y55" i="1"/>
  <c r="Y53" i="1"/>
  <c r="Y51" i="1"/>
  <c r="Y49" i="1"/>
  <c r="Y45" i="1"/>
  <c r="Y41" i="1"/>
  <c r="Y62" i="1"/>
  <c r="Y60" i="1"/>
  <c r="Y58" i="1"/>
  <c r="Y56" i="1"/>
  <c r="Y54" i="1"/>
  <c r="Y52" i="1"/>
  <c r="Y50" i="1"/>
  <c r="Y48" i="1"/>
  <c r="Y46" i="1"/>
  <c r="Y44" i="1"/>
  <c r="Y42" i="1"/>
  <c r="Y40" i="1"/>
  <c r="Y38" i="1"/>
  <c r="Y36" i="1"/>
  <c r="Y34" i="1"/>
  <c r="Y32" i="1"/>
  <c r="Y30" i="1"/>
  <c r="Y28" i="1"/>
  <c r="Y26" i="1"/>
  <c r="Y24" i="1"/>
  <c r="Y22" i="1"/>
  <c r="Y20" i="1"/>
  <c r="Y18" i="1"/>
  <c r="Y16" i="1"/>
  <c r="Y14" i="1"/>
  <c r="Y39" i="1"/>
  <c r="Y37" i="1"/>
  <c r="Y35" i="1"/>
  <c r="Y33" i="1"/>
  <c r="Y31" i="1"/>
  <c r="Y29" i="1"/>
  <c r="Y27" i="1"/>
  <c r="Y25" i="1"/>
  <c r="Y23" i="1"/>
  <c r="Y21" i="1"/>
  <c r="Y19" i="1"/>
  <c r="Y17" i="1"/>
  <c r="Y15" i="1"/>
  <c r="Y13" i="1"/>
  <c r="Y11" i="1"/>
  <c r="Y9" i="1"/>
  <c r="Y12" i="1"/>
  <c r="Y10" i="1"/>
  <c r="BQ6" i="1"/>
  <c r="BO6" i="1"/>
  <c r="CR6" i="1"/>
  <c r="CS6" i="1" s="1"/>
  <c r="BP6" i="1"/>
  <c r="EW6" i="1"/>
  <c r="EX6" i="1"/>
  <c r="EV6" i="1"/>
  <c r="AV6" i="1"/>
  <c r="AX6" i="1" s="1"/>
  <c r="FF6" i="1"/>
  <c r="HZ6" i="1"/>
  <c r="DY6" i="1"/>
  <c r="GO6" i="1"/>
  <c r="DR5" i="1"/>
  <c r="AB7" i="1"/>
  <c r="Z7" i="1"/>
  <c r="AC7" i="1" s="1"/>
  <c r="DR6" i="1"/>
  <c r="GI5" i="1"/>
  <c r="GJ5" i="1" s="1"/>
  <c r="GN5" i="1" s="1"/>
  <c r="GS5" i="1" s="1"/>
  <c r="GF5" i="1"/>
  <c r="GH5" i="1" s="1"/>
  <c r="EX4" i="1"/>
  <c r="EV4" i="1"/>
  <c r="EW4" i="1"/>
  <c r="HZ4" i="1"/>
  <c r="GP4" i="1"/>
  <c r="FF4" i="1"/>
  <c r="DZ4" i="1"/>
  <c r="IA4" i="1"/>
  <c r="GO4" i="1"/>
  <c r="FG4" i="1"/>
  <c r="DY4" i="1"/>
  <c r="AW4" i="1"/>
  <c r="AV4" i="1"/>
  <c r="AX4" i="1" s="1"/>
  <c r="GI6" i="1"/>
  <c r="GF6" i="1"/>
  <c r="GH6" i="1" s="1"/>
  <c r="AY5" i="1"/>
  <c r="BB5" i="1" s="1"/>
  <c r="AZ5" i="1"/>
  <c r="DZ6" i="1"/>
  <c r="GP6" i="1"/>
  <c r="AW6" i="1"/>
  <c r="FG6" i="1"/>
  <c r="GJ6" i="1" l="1"/>
  <c r="GN6" i="1" s="1"/>
  <c r="GS6" i="1" s="1"/>
  <c r="DT5" i="1"/>
  <c r="DX5" i="1" s="1"/>
  <c r="EC5" i="1" s="1"/>
  <c r="HX5" i="1"/>
  <c r="IC5" i="1" s="1"/>
  <c r="HW5" i="1"/>
  <c r="IB5" i="1" s="1"/>
  <c r="IE5" i="1" s="1"/>
  <c r="HO4" i="1"/>
  <c r="HQ4" i="1" s="1"/>
  <c r="DV4" i="1"/>
  <c r="EA4" i="1" s="1"/>
  <c r="ED4" i="1" s="1"/>
  <c r="FA5" i="1"/>
  <c r="FE5" i="1" s="1"/>
  <c r="FJ5" i="1" s="1"/>
  <c r="GI4" i="1"/>
  <c r="GJ4" i="1" s="1"/>
  <c r="GN4" i="1" s="1"/>
  <c r="GS4" i="1" s="1"/>
  <c r="HS4" i="1"/>
  <c r="HU4" i="1" s="1"/>
  <c r="HY4" i="1" s="1"/>
  <c r="ID4" i="1" s="1"/>
  <c r="EY5" i="1"/>
  <c r="AD7" i="1"/>
  <c r="AF7" i="1" s="1"/>
  <c r="AG7" i="1" s="1"/>
  <c r="AH7" i="1" s="1"/>
  <c r="AM7" i="1" s="1"/>
  <c r="BC5" i="1"/>
  <c r="AY6" i="1"/>
  <c r="BA6" i="1" s="1"/>
  <c r="AZ6" i="1"/>
  <c r="GM6" i="1"/>
  <c r="GR6" i="1" s="1"/>
  <c r="GL6" i="1"/>
  <c r="GQ6" i="1" s="1"/>
  <c r="GT6" i="1" s="1"/>
  <c r="EB4" i="1"/>
  <c r="GM5" i="1"/>
  <c r="GR5" i="1" s="1"/>
  <c r="GL5" i="1"/>
  <c r="GQ5" i="1" s="1"/>
  <c r="GT5" i="1" s="1"/>
  <c r="DW5" i="1"/>
  <c r="EB5" i="1" s="1"/>
  <c r="DV5" i="1"/>
  <c r="EA5" i="1" s="1"/>
  <c r="ED5" i="1" s="1"/>
  <c r="BA5" i="1"/>
  <c r="AJ12" i="1"/>
  <c r="AB12" i="1"/>
  <c r="Z12" i="1"/>
  <c r="AC12" i="1" s="1"/>
  <c r="AE12" i="1"/>
  <c r="AE11" i="1"/>
  <c r="AJ11" i="1"/>
  <c r="AB11" i="1"/>
  <c r="Z11" i="1"/>
  <c r="AC11" i="1" s="1"/>
  <c r="AJ15" i="1"/>
  <c r="AB15" i="1"/>
  <c r="Z15" i="1"/>
  <c r="AC15" i="1" s="1"/>
  <c r="AE15" i="1"/>
  <c r="AJ19" i="1"/>
  <c r="AB19" i="1"/>
  <c r="Z19" i="1"/>
  <c r="AC19" i="1" s="1"/>
  <c r="AE19" i="1"/>
  <c r="AJ23" i="1"/>
  <c r="AB23" i="1"/>
  <c r="Z23" i="1"/>
  <c r="AC23" i="1" s="1"/>
  <c r="AE23" i="1"/>
  <c r="AJ27" i="1"/>
  <c r="AB27" i="1"/>
  <c r="Z27" i="1"/>
  <c r="AC27" i="1" s="1"/>
  <c r="AE27" i="1"/>
  <c r="AJ31" i="1"/>
  <c r="AB31" i="1"/>
  <c r="Z31" i="1"/>
  <c r="AC31" i="1" s="1"/>
  <c r="AE31" i="1"/>
  <c r="AJ35" i="1"/>
  <c r="AB35" i="1"/>
  <c r="Z35" i="1"/>
  <c r="AC35" i="1" s="1"/>
  <c r="AE35" i="1"/>
  <c r="AJ39" i="1"/>
  <c r="AB39" i="1"/>
  <c r="Z39" i="1"/>
  <c r="AC39" i="1" s="1"/>
  <c r="AE39" i="1"/>
  <c r="AE16" i="1"/>
  <c r="AJ16" i="1"/>
  <c r="AB16" i="1"/>
  <c r="Z16" i="1"/>
  <c r="AC16" i="1" s="1"/>
  <c r="AE20" i="1"/>
  <c r="AJ20" i="1"/>
  <c r="AB20" i="1"/>
  <c r="Z20" i="1"/>
  <c r="AC20" i="1" s="1"/>
  <c r="AE24" i="1"/>
  <c r="AJ24" i="1"/>
  <c r="AB24" i="1"/>
  <c r="Z24" i="1"/>
  <c r="AC24" i="1" s="1"/>
  <c r="AE28" i="1"/>
  <c r="AJ28" i="1"/>
  <c r="AB28" i="1"/>
  <c r="Z28" i="1"/>
  <c r="AC28" i="1" s="1"/>
  <c r="AE32" i="1"/>
  <c r="AJ32" i="1"/>
  <c r="AB32" i="1"/>
  <c r="Z32" i="1"/>
  <c r="AC32" i="1" s="1"/>
  <c r="AE36" i="1"/>
  <c r="AJ36" i="1"/>
  <c r="AB36" i="1"/>
  <c r="Z36" i="1"/>
  <c r="AC36" i="1" s="1"/>
  <c r="AJ40" i="1"/>
  <c r="AB40" i="1"/>
  <c r="AE40" i="1"/>
  <c r="Z40" i="1"/>
  <c r="AC40" i="1" s="1"/>
  <c r="AJ44" i="1"/>
  <c r="AB44" i="1"/>
  <c r="Z44" i="1"/>
  <c r="AC44" i="1" s="1"/>
  <c r="AE44" i="1"/>
  <c r="AJ48" i="1"/>
  <c r="AB48" i="1"/>
  <c r="Z48" i="1"/>
  <c r="AC48" i="1" s="1"/>
  <c r="AE48" i="1"/>
  <c r="AJ52" i="1"/>
  <c r="AB52" i="1"/>
  <c r="Z52" i="1"/>
  <c r="AC52" i="1" s="1"/>
  <c r="AE52" i="1"/>
  <c r="AJ56" i="1"/>
  <c r="AB56" i="1"/>
  <c r="Z56" i="1"/>
  <c r="AC56" i="1" s="1"/>
  <c r="AE56" i="1"/>
  <c r="AJ60" i="1"/>
  <c r="AB60" i="1"/>
  <c r="Z60" i="1"/>
  <c r="AC60" i="1" s="1"/>
  <c r="AE60" i="1"/>
  <c r="AE41" i="1"/>
  <c r="AJ41" i="1"/>
  <c r="AB41" i="1"/>
  <c r="Z41" i="1"/>
  <c r="AC41" i="1" s="1"/>
  <c r="AE49" i="1"/>
  <c r="AJ49" i="1"/>
  <c r="AB49" i="1"/>
  <c r="Z49" i="1"/>
  <c r="AC49" i="1" s="1"/>
  <c r="AE53" i="1"/>
  <c r="AJ53" i="1"/>
  <c r="AB53" i="1"/>
  <c r="Z53" i="1"/>
  <c r="AC53" i="1" s="1"/>
  <c r="AE57" i="1"/>
  <c r="AJ57" i="1"/>
  <c r="AB57" i="1"/>
  <c r="Z57" i="1"/>
  <c r="AC57" i="1" s="1"/>
  <c r="AE63" i="1"/>
  <c r="AJ63" i="1"/>
  <c r="AB63" i="1"/>
  <c r="Z63" i="1"/>
  <c r="AC63" i="1" s="1"/>
  <c r="AJ67" i="1"/>
  <c r="AB67" i="1"/>
  <c r="Z67" i="1"/>
  <c r="AC67" i="1" s="1"/>
  <c r="AE67" i="1"/>
  <c r="AE64" i="1"/>
  <c r="AJ64" i="1"/>
  <c r="AB64" i="1"/>
  <c r="Z64" i="1"/>
  <c r="AC64" i="1" s="1"/>
  <c r="HW6" i="1"/>
  <c r="IB6" i="1" s="1"/>
  <c r="IE6" i="1" s="1"/>
  <c r="HX6" i="1"/>
  <c r="IC6" i="1" s="1"/>
  <c r="J9" i="2"/>
  <c r="L9" i="2" s="1"/>
  <c r="AY4" i="1"/>
  <c r="BA4" i="1" s="1"/>
  <c r="AZ4" i="1"/>
  <c r="EZ4" i="1"/>
  <c r="FA4" i="1" s="1"/>
  <c r="FE4" i="1" s="1"/>
  <c r="FJ4" i="1" s="1"/>
  <c r="EY4" i="1"/>
  <c r="DW6" i="1"/>
  <c r="EB6" i="1" s="1"/>
  <c r="DV6" i="1"/>
  <c r="EA6" i="1" s="1"/>
  <c r="ED6" i="1" s="1"/>
  <c r="EY6" i="1"/>
  <c r="EZ6" i="1"/>
  <c r="FA6" i="1" s="1"/>
  <c r="FE6" i="1" s="1"/>
  <c r="FJ6" i="1" s="1"/>
  <c r="BS6" i="1"/>
  <c r="BT6" i="1" s="1"/>
  <c r="CQ6" i="1" s="1"/>
  <c r="CV6" i="1" s="1"/>
  <c r="BR6" i="1"/>
  <c r="CK6" i="1" s="1"/>
  <c r="AJ10" i="1"/>
  <c r="AB10" i="1"/>
  <c r="Z10" i="1"/>
  <c r="AC10" i="1" s="1"/>
  <c r="AE10" i="1"/>
  <c r="AE9" i="1"/>
  <c r="AJ9" i="1"/>
  <c r="AB9" i="1"/>
  <c r="Z9" i="1"/>
  <c r="AC9" i="1" s="1"/>
  <c r="AE13" i="1"/>
  <c r="AJ13" i="1"/>
  <c r="AB13" i="1"/>
  <c r="Z13" i="1"/>
  <c r="AC13" i="1" s="1"/>
  <c r="AJ17" i="1"/>
  <c r="AB17" i="1"/>
  <c r="Z17" i="1"/>
  <c r="AC17" i="1" s="1"/>
  <c r="AE17" i="1"/>
  <c r="AJ21" i="1"/>
  <c r="AB21" i="1"/>
  <c r="Z21" i="1"/>
  <c r="AC21" i="1" s="1"/>
  <c r="AE21" i="1"/>
  <c r="AJ25" i="1"/>
  <c r="AB25" i="1"/>
  <c r="Z25" i="1"/>
  <c r="AC25" i="1" s="1"/>
  <c r="AE25" i="1"/>
  <c r="AJ29" i="1"/>
  <c r="AB29" i="1"/>
  <c r="Z29" i="1"/>
  <c r="AC29" i="1" s="1"/>
  <c r="AE29" i="1"/>
  <c r="AJ33" i="1"/>
  <c r="AB33" i="1"/>
  <c r="Z33" i="1"/>
  <c r="AC33" i="1" s="1"/>
  <c r="AE33" i="1"/>
  <c r="AJ37" i="1"/>
  <c r="AB37" i="1"/>
  <c r="Z37" i="1"/>
  <c r="AC37" i="1" s="1"/>
  <c r="AE37" i="1"/>
  <c r="AE14" i="1"/>
  <c r="AJ14" i="1"/>
  <c r="AB14" i="1"/>
  <c r="Z14" i="1"/>
  <c r="AC14" i="1" s="1"/>
  <c r="AE18" i="1"/>
  <c r="AJ18" i="1"/>
  <c r="AB18" i="1"/>
  <c r="Z18" i="1"/>
  <c r="AC18" i="1" s="1"/>
  <c r="AE22" i="1"/>
  <c r="AJ22" i="1"/>
  <c r="AB22" i="1"/>
  <c r="Z22" i="1"/>
  <c r="AC22" i="1" s="1"/>
  <c r="AE26" i="1"/>
  <c r="AJ26" i="1"/>
  <c r="AB26" i="1"/>
  <c r="Z26" i="1"/>
  <c r="AC26" i="1" s="1"/>
  <c r="AE30" i="1"/>
  <c r="AJ30" i="1"/>
  <c r="AB30" i="1"/>
  <c r="Z30" i="1"/>
  <c r="AC30" i="1" s="1"/>
  <c r="AE34" i="1"/>
  <c r="AJ34" i="1"/>
  <c r="AB34" i="1"/>
  <c r="Z34" i="1"/>
  <c r="AC34" i="1" s="1"/>
  <c r="AE38" i="1"/>
  <c r="AJ38" i="1"/>
  <c r="AB38" i="1"/>
  <c r="Z38" i="1"/>
  <c r="AC38" i="1" s="1"/>
  <c r="AJ42" i="1"/>
  <c r="AB42" i="1"/>
  <c r="Z42" i="1"/>
  <c r="AC42" i="1" s="1"/>
  <c r="AE42" i="1"/>
  <c r="AJ46" i="1"/>
  <c r="AB46" i="1"/>
  <c r="Z46" i="1"/>
  <c r="AC46" i="1" s="1"/>
  <c r="AE46" i="1"/>
  <c r="AJ50" i="1"/>
  <c r="AB50" i="1"/>
  <c r="Z50" i="1"/>
  <c r="AC50" i="1" s="1"/>
  <c r="AE50" i="1"/>
  <c r="AJ54" i="1"/>
  <c r="AB54" i="1"/>
  <c r="Z54" i="1"/>
  <c r="AC54" i="1" s="1"/>
  <c r="AE54" i="1"/>
  <c r="AJ58" i="1"/>
  <c r="AB58" i="1"/>
  <c r="Z58" i="1"/>
  <c r="AC58" i="1" s="1"/>
  <c r="AE58" i="1"/>
  <c r="AJ62" i="1"/>
  <c r="AB62" i="1"/>
  <c r="Z62" i="1"/>
  <c r="AC62" i="1" s="1"/>
  <c r="AE62" i="1"/>
  <c r="AE45" i="1"/>
  <c r="AJ45" i="1"/>
  <c r="AB45" i="1"/>
  <c r="Z45" i="1"/>
  <c r="AC45" i="1" s="1"/>
  <c r="AE51" i="1"/>
  <c r="AJ51" i="1"/>
  <c r="AB51" i="1"/>
  <c r="Z51" i="1"/>
  <c r="AC51" i="1" s="1"/>
  <c r="AE55" i="1"/>
  <c r="AJ55" i="1"/>
  <c r="AB55" i="1"/>
  <c r="Z55" i="1"/>
  <c r="AC55" i="1" s="1"/>
  <c r="AE59" i="1"/>
  <c r="AJ59" i="1"/>
  <c r="AB59" i="1"/>
  <c r="Z59" i="1"/>
  <c r="AC59" i="1" s="1"/>
  <c r="AJ65" i="1"/>
  <c r="AB65" i="1"/>
  <c r="Z65" i="1"/>
  <c r="AC65" i="1" s="1"/>
  <c r="AE65" i="1"/>
  <c r="AJ69" i="1"/>
  <c r="AB69" i="1"/>
  <c r="Z69" i="1"/>
  <c r="AC69" i="1" s="1"/>
  <c r="AE69" i="1"/>
  <c r="AE66" i="1"/>
  <c r="AJ66" i="1"/>
  <c r="AB66" i="1"/>
  <c r="Z66" i="1"/>
  <c r="AC66" i="1" s="1"/>
  <c r="IG5" i="1"/>
  <c r="IF5" i="1"/>
  <c r="BS5" i="1"/>
  <c r="BT5" i="1" s="1"/>
  <c r="CQ5" i="1" s="1"/>
  <c r="CV5" i="1" s="1"/>
  <c r="BR5" i="1"/>
  <c r="CK5" i="1" s="1"/>
  <c r="BS4" i="1"/>
  <c r="BT4" i="1" s="1"/>
  <c r="CQ4" i="1" s="1"/>
  <c r="CV4" i="1" s="1"/>
  <c r="BR4" i="1"/>
  <c r="CK4" i="1" s="1"/>
  <c r="FD5" i="1" l="1"/>
  <c r="FI5" i="1" s="1"/>
  <c r="IH5" i="1"/>
  <c r="IK5" i="1" s="1"/>
  <c r="R61" i="1" s="1"/>
  <c r="BB6" i="1"/>
  <c r="BC6" i="1" s="1"/>
  <c r="FC5" i="1"/>
  <c r="FH5" i="1" s="1"/>
  <c r="FK5" i="1" s="1"/>
  <c r="HW4" i="1"/>
  <c r="IB4" i="1" s="1"/>
  <c r="IE4" i="1" s="1"/>
  <c r="HX4" i="1"/>
  <c r="IC4" i="1" s="1"/>
  <c r="IF4" i="1" s="1"/>
  <c r="GL4" i="1"/>
  <c r="GQ4" i="1" s="1"/>
  <c r="GT4" i="1" s="1"/>
  <c r="GM4" i="1"/>
  <c r="GR4" i="1" s="1"/>
  <c r="GV4" i="1" s="1"/>
  <c r="CU4" i="1"/>
  <c r="CY4" i="1" s="1"/>
  <c r="CU5" i="1"/>
  <c r="CY5" i="1" s="1"/>
  <c r="AD69" i="1"/>
  <c r="AF69" i="1" s="1"/>
  <c r="AD65" i="1"/>
  <c r="AF65" i="1" s="1"/>
  <c r="AD54" i="1"/>
  <c r="AF54" i="1" s="1"/>
  <c r="AD50" i="1"/>
  <c r="AF50" i="1" s="1"/>
  <c r="AD46" i="1"/>
  <c r="AF46" i="1" s="1"/>
  <c r="AD42" i="1"/>
  <c r="AF42" i="1" s="1"/>
  <c r="AD25" i="1"/>
  <c r="AF25" i="1" s="1"/>
  <c r="AD21" i="1"/>
  <c r="AF21" i="1" s="1"/>
  <c r="AD17" i="1"/>
  <c r="AF17" i="1" s="1"/>
  <c r="AD10" i="1"/>
  <c r="AF10" i="1" s="1"/>
  <c r="CU6" i="1"/>
  <c r="CX6" i="1" s="1"/>
  <c r="AD64" i="1"/>
  <c r="AF64" i="1" s="1"/>
  <c r="AG64" i="1" s="1"/>
  <c r="AH64" i="1" s="1"/>
  <c r="AM64" i="1" s="1"/>
  <c r="AD63" i="1"/>
  <c r="AF63" i="1" s="1"/>
  <c r="AG63" i="1" s="1"/>
  <c r="AH63" i="1" s="1"/>
  <c r="AM63" i="1" s="1"/>
  <c r="AD57" i="1"/>
  <c r="AF57" i="1" s="1"/>
  <c r="AG57" i="1" s="1"/>
  <c r="AH57" i="1" s="1"/>
  <c r="AM57" i="1" s="1"/>
  <c r="AD53" i="1"/>
  <c r="AF53" i="1" s="1"/>
  <c r="AG53" i="1" s="1"/>
  <c r="AH53" i="1" s="1"/>
  <c r="AM53" i="1" s="1"/>
  <c r="AD49" i="1"/>
  <c r="AF49" i="1" s="1"/>
  <c r="AG49" i="1" s="1"/>
  <c r="AH49" i="1" s="1"/>
  <c r="AM49" i="1" s="1"/>
  <c r="AD41" i="1"/>
  <c r="AF41" i="1" s="1"/>
  <c r="AG41" i="1" s="1"/>
  <c r="AH41" i="1" s="1"/>
  <c r="AM41" i="1" s="1"/>
  <c r="AD36" i="1"/>
  <c r="AF36" i="1" s="1"/>
  <c r="AG36" i="1" s="1"/>
  <c r="AH36" i="1" s="1"/>
  <c r="AM36" i="1" s="1"/>
  <c r="AD32" i="1"/>
  <c r="AF32" i="1" s="1"/>
  <c r="AG32" i="1" s="1"/>
  <c r="AH32" i="1" s="1"/>
  <c r="AM32" i="1" s="1"/>
  <c r="AD28" i="1"/>
  <c r="AF28" i="1" s="1"/>
  <c r="AG28" i="1" s="1"/>
  <c r="AH28" i="1" s="1"/>
  <c r="AM28" i="1" s="1"/>
  <c r="AD24" i="1"/>
  <c r="AF24" i="1" s="1"/>
  <c r="AG24" i="1" s="1"/>
  <c r="AH24" i="1" s="1"/>
  <c r="AM24" i="1" s="1"/>
  <c r="AD20" i="1"/>
  <c r="AF20" i="1" s="1"/>
  <c r="AG20" i="1" s="1"/>
  <c r="AH20" i="1" s="1"/>
  <c r="AM20" i="1" s="1"/>
  <c r="AD16" i="1"/>
  <c r="AF16" i="1" s="1"/>
  <c r="AG16" i="1" s="1"/>
  <c r="AH16" i="1" s="1"/>
  <c r="AM16" i="1" s="1"/>
  <c r="AD14" i="1"/>
  <c r="AF14" i="1" s="1"/>
  <c r="AG14" i="1" s="1"/>
  <c r="AH14" i="1" s="1"/>
  <c r="AM14" i="1" s="1"/>
  <c r="AN66" i="1"/>
  <c r="AK66" i="1"/>
  <c r="AN59" i="1"/>
  <c r="AK59" i="1"/>
  <c r="AN55" i="1"/>
  <c r="AK55" i="1"/>
  <c r="AN51" i="1"/>
  <c r="AK51" i="1"/>
  <c r="AN45" i="1"/>
  <c r="AK45" i="1"/>
  <c r="AD62" i="1"/>
  <c r="AF62" i="1" s="1"/>
  <c r="AD58" i="1"/>
  <c r="AF58" i="1" s="1"/>
  <c r="AN38" i="1"/>
  <c r="AK38" i="1"/>
  <c r="AN34" i="1"/>
  <c r="AK34" i="1"/>
  <c r="AN30" i="1"/>
  <c r="AK30" i="1"/>
  <c r="AN26" i="1"/>
  <c r="AK26" i="1"/>
  <c r="AN22" i="1"/>
  <c r="AK22" i="1"/>
  <c r="AN18" i="1"/>
  <c r="AK18" i="1"/>
  <c r="AN14" i="1"/>
  <c r="AK14" i="1"/>
  <c r="AD37" i="1"/>
  <c r="AF37" i="1" s="1"/>
  <c r="AD33" i="1"/>
  <c r="AF33" i="1" s="1"/>
  <c r="AD29" i="1"/>
  <c r="AF29" i="1" s="1"/>
  <c r="AK13" i="1"/>
  <c r="AN13" i="1"/>
  <c r="AN9" i="1"/>
  <c r="AK9" i="1"/>
  <c r="FD4" i="1"/>
  <c r="FI4" i="1" s="1"/>
  <c r="FC4" i="1"/>
  <c r="FH4" i="1" s="1"/>
  <c r="FK4" i="1" s="1"/>
  <c r="CT4" i="1"/>
  <c r="CW4" i="1" s="1"/>
  <c r="G9" i="2"/>
  <c r="II5" i="1"/>
  <c r="IJ5" i="1" s="1"/>
  <c r="U61" i="1" s="1"/>
  <c r="AN67" i="1"/>
  <c r="AK67" i="1"/>
  <c r="AN60" i="1"/>
  <c r="AK60" i="1"/>
  <c r="AN56" i="1"/>
  <c r="AK56" i="1"/>
  <c r="AN52" i="1"/>
  <c r="AK52" i="1"/>
  <c r="AN48" i="1"/>
  <c r="AK48" i="1"/>
  <c r="AN44" i="1"/>
  <c r="AK44" i="1"/>
  <c r="AN40" i="1"/>
  <c r="AK40" i="1"/>
  <c r="AN39" i="1"/>
  <c r="AK39" i="1"/>
  <c r="AN35" i="1"/>
  <c r="AK35" i="1"/>
  <c r="AN31" i="1"/>
  <c r="AK31" i="1"/>
  <c r="AN27" i="1"/>
  <c r="AK27" i="1"/>
  <c r="AN23" i="1"/>
  <c r="AK23" i="1"/>
  <c r="AN19" i="1"/>
  <c r="AK19" i="1"/>
  <c r="AN15" i="1"/>
  <c r="AK15" i="1"/>
  <c r="AD11" i="1"/>
  <c r="AF11" i="1" s="1"/>
  <c r="AN12" i="1"/>
  <c r="AK12" i="1"/>
  <c r="EE5" i="1"/>
  <c r="EH5" i="1" s="1"/>
  <c r="EF5" i="1"/>
  <c r="GU5" i="1"/>
  <c r="GX5" i="1" s="1"/>
  <c r="GV5" i="1"/>
  <c r="BB4" i="1"/>
  <c r="BC4" i="1" s="1"/>
  <c r="FM5" i="1"/>
  <c r="FL5" i="1"/>
  <c r="AD66" i="1"/>
  <c r="AF66" i="1" s="1"/>
  <c r="AN69" i="1"/>
  <c r="AK69" i="1"/>
  <c r="AN65" i="1"/>
  <c r="AK65" i="1"/>
  <c r="AD59" i="1"/>
  <c r="AF59" i="1" s="1"/>
  <c r="AD55" i="1"/>
  <c r="AF55" i="1" s="1"/>
  <c r="AD51" i="1"/>
  <c r="AF51" i="1" s="1"/>
  <c r="AD45" i="1"/>
  <c r="AF45" i="1" s="1"/>
  <c r="AN62" i="1"/>
  <c r="AK62" i="1"/>
  <c r="AN58" i="1"/>
  <c r="AK58" i="1"/>
  <c r="AN54" i="1"/>
  <c r="AK54" i="1"/>
  <c r="AN50" i="1"/>
  <c r="AK50" i="1"/>
  <c r="AN46" i="1"/>
  <c r="AK46" i="1"/>
  <c r="AN42" i="1"/>
  <c r="AK42" i="1"/>
  <c r="AD38" i="1"/>
  <c r="AF38" i="1" s="1"/>
  <c r="AD34" i="1"/>
  <c r="AF34" i="1" s="1"/>
  <c r="AD30" i="1"/>
  <c r="AF30" i="1" s="1"/>
  <c r="AD26" i="1"/>
  <c r="AF26" i="1" s="1"/>
  <c r="AD22" i="1"/>
  <c r="AF22" i="1" s="1"/>
  <c r="AD18" i="1"/>
  <c r="AF18" i="1" s="1"/>
  <c r="AN37" i="1"/>
  <c r="AK37" i="1"/>
  <c r="AN33" i="1"/>
  <c r="AK33" i="1"/>
  <c r="AN29" i="1"/>
  <c r="AK29" i="1"/>
  <c r="AN25" i="1"/>
  <c r="AK25" i="1"/>
  <c r="AN21" i="1"/>
  <c r="AK21" i="1"/>
  <c r="AN17" i="1"/>
  <c r="AK17" i="1"/>
  <c r="AD13" i="1"/>
  <c r="AF13" i="1" s="1"/>
  <c r="AD9" i="1"/>
  <c r="AF9" i="1" s="1"/>
  <c r="AN10" i="1"/>
  <c r="AK10" i="1"/>
  <c r="FC6" i="1"/>
  <c r="FH6" i="1" s="1"/>
  <c r="FK6" i="1" s="1"/>
  <c r="FD6" i="1"/>
  <c r="FI6" i="1" s="1"/>
  <c r="EE6" i="1"/>
  <c r="EH6" i="1" s="1"/>
  <c r="EF6" i="1"/>
  <c r="CT5" i="1"/>
  <c r="CW5" i="1" s="1"/>
  <c r="IG6" i="1"/>
  <c r="IF6" i="1"/>
  <c r="II6" i="1" s="1"/>
  <c r="AN64" i="1"/>
  <c r="AK64" i="1"/>
  <c r="AD67" i="1"/>
  <c r="AF67" i="1" s="1"/>
  <c r="AN63" i="1"/>
  <c r="AK63" i="1"/>
  <c r="AN57" i="1"/>
  <c r="AK57" i="1"/>
  <c r="AN53" i="1"/>
  <c r="AK53" i="1"/>
  <c r="AN49" i="1"/>
  <c r="AK49" i="1"/>
  <c r="AN41" i="1"/>
  <c r="AK41" i="1"/>
  <c r="AD60" i="1"/>
  <c r="AF60" i="1" s="1"/>
  <c r="AD56" i="1"/>
  <c r="AF56" i="1" s="1"/>
  <c r="AD52" i="1"/>
  <c r="AF52" i="1" s="1"/>
  <c r="AD48" i="1"/>
  <c r="AF48" i="1" s="1"/>
  <c r="AD44" i="1"/>
  <c r="AF44" i="1" s="1"/>
  <c r="AD40" i="1"/>
  <c r="AF40" i="1" s="1"/>
  <c r="AN36" i="1"/>
  <c r="AK36" i="1"/>
  <c r="AN32" i="1"/>
  <c r="AK32" i="1"/>
  <c r="AN28" i="1"/>
  <c r="AK28" i="1"/>
  <c r="AN24" i="1"/>
  <c r="AK24" i="1"/>
  <c r="AN20" i="1"/>
  <c r="AK20" i="1"/>
  <c r="AN16" i="1"/>
  <c r="AK16" i="1"/>
  <c r="AD39" i="1"/>
  <c r="AF39" i="1" s="1"/>
  <c r="AD35" i="1"/>
  <c r="AF35" i="1" s="1"/>
  <c r="AD31" i="1"/>
  <c r="AF31" i="1" s="1"/>
  <c r="AD27" i="1"/>
  <c r="AF27" i="1" s="1"/>
  <c r="AD23" i="1"/>
  <c r="AF23" i="1" s="1"/>
  <c r="AD19" i="1"/>
  <c r="AF19" i="1" s="1"/>
  <c r="AD15" i="1"/>
  <c r="AF15" i="1" s="1"/>
  <c r="AN11" i="1"/>
  <c r="AK11" i="1"/>
  <c r="AD12" i="1"/>
  <c r="AF12" i="1" s="1"/>
  <c r="CT6" i="1"/>
  <c r="CW6" i="1" s="1"/>
  <c r="EF4" i="1"/>
  <c r="EE4" i="1"/>
  <c r="GU6" i="1"/>
  <c r="GW6" i="1" s="1"/>
  <c r="GZ6" i="1" s="1"/>
  <c r="S43" i="1" s="1"/>
  <c r="GV6" i="1"/>
  <c r="FN5" i="1" l="1"/>
  <c r="FQ5" i="1" s="1"/>
  <c r="R68" i="1" s="1"/>
  <c r="IG4" i="1"/>
  <c r="CX4" i="1"/>
  <c r="DA4" i="1" s="1"/>
  <c r="DB4" i="1" s="1"/>
  <c r="T8" i="1" s="1"/>
  <c r="AA8" i="1" s="1"/>
  <c r="IH4" i="1"/>
  <c r="IK4" i="1" s="1"/>
  <c r="Q61" i="1" s="1"/>
  <c r="Y61" i="1" s="1"/>
  <c r="AB61" i="1" s="1"/>
  <c r="EG5" i="1"/>
  <c r="EJ5" i="1" s="1"/>
  <c r="R47" i="1" s="1"/>
  <c r="GU4" i="1"/>
  <c r="GW4" i="1" s="1"/>
  <c r="GZ4" i="1" s="1"/>
  <c r="Q43" i="1" s="1"/>
  <c r="Y43" i="1" s="1"/>
  <c r="AB43" i="1" s="1"/>
  <c r="CX5" i="1"/>
  <c r="DA5" i="1" s="1"/>
  <c r="DB5" i="1" s="1"/>
  <c r="U8" i="1" s="1"/>
  <c r="FO5" i="1"/>
  <c r="FP5" i="1" s="1"/>
  <c r="U68" i="1" s="1"/>
  <c r="CY6" i="1"/>
  <c r="GW5" i="1"/>
  <c r="GZ5" i="1" s="1"/>
  <c r="R43" i="1" s="1"/>
  <c r="GY5" i="1"/>
  <c r="U43" i="1" s="1"/>
  <c r="EI5" i="1"/>
  <c r="U47" i="1" s="1"/>
  <c r="IJ6" i="1"/>
  <c r="V61" i="1" s="1"/>
  <c r="EI6" i="1"/>
  <c r="V47" i="1" s="1"/>
  <c r="EH4" i="1"/>
  <c r="EI4" i="1" s="1"/>
  <c r="T47" i="1" s="1"/>
  <c r="AA47" i="1" s="1"/>
  <c r="EG4" i="1"/>
  <c r="EJ4" i="1" s="1"/>
  <c r="Q47" i="1" s="1"/>
  <c r="Y47" i="1" s="1"/>
  <c r="DA6" i="1"/>
  <c r="CZ6" i="1"/>
  <c r="DC6" i="1" s="1"/>
  <c r="S8" i="1" s="1"/>
  <c r="J13" i="2"/>
  <c r="L13" i="2" s="1"/>
  <c r="AG15" i="1"/>
  <c r="AH15" i="1" s="1"/>
  <c r="AG23" i="1"/>
  <c r="AH23" i="1" s="1"/>
  <c r="AG31" i="1"/>
  <c r="AH31" i="1" s="1"/>
  <c r="AG39" i="1"/>
  <c r="AH39" i="1" s="1"/>
  <c r="AM39" i="1" s="1"/>
  <c r="AG44" i="1"/>
  <c r="AH44" i="1" s="1"/>
  <c r="AM44" i="1" s="1"/>
  <c r="AG52" i="1"/>
  <c r="AH52" i="1" s="1"/>
  <c r="AM52" i="1" s="1"/>
  <c r="AG60" i="1"/>
  <c r="AH60" i="1" s="1"/>
  <c r="J66" i="2"/>
  <c r="L66" i="2" s="1"/>
  <c r="G66" i="2"/>
  <c r="AG13" i="1"/>
  <c r="AH13" i="1" s="1"/>
  <c r="AG22" i="1"/>
  <c r="AH22" i="1" s="1"/>
  <c r="AM22" i="1" s="1"/>
  <c r="AG30" i="1"/>
  <c r="AH30" i="1" s="1"/>
  <c r="AG38" i="1"/>
  <c r="AH38" i="1" s="1"/>
  <c r="AM38" i="1" s="1"/>
  <c r="AG51" i="1"/>
  <c r="AH51" i="1" s="1"/>
  <c r="AG59" i="1"/>
  <c r="AH59" i="1" s="1"/>
  <c r="AM59" i="1" s="1"/>
  <c r="II4" i="1"/>
  <c r="GX6" i="1"/>
  <c r="GY6" i="1" s="1"/>
  <c r="V43" i="1" s="1"/>
  <c r="J17" i="2"/>
  <c r="L17" i="2" s="1"/>
  <c r="J21" i="2"/>
  <c r="L21" i="2" s="1"/>
  <c r="J25" i="2"/>
  <c r="L25" i="2" s="1"/>
  <c r="J29" i="2"/>
  <c r="L29" i="2" s="1"/>
  <c r="J33" i="2"/>
  <c r="L33" i="2" s="1"/>
  <c r="J37" i="2"/>
  <c r="L37" i="2" s="1"/>
  <c r="G41" i="2"/>
  <c r="J41" i="2"/>
  <c r="L41" i="2" s="1"/>
  <c r="J42" i="2"/>
  <c r="L42" i="2" s="1"/>
  <c r="J46" i="2"/>
  <c r="L46" i="2" s="1"/>
  <c r="J50" i="2"/>
  <c r="L50" i="2" s="1"/>
  <c r="J54" i="2"/>
  <c r="L54" i="2" s="1"/>
  <c r="J58" i="2"/>
  <c r="L58" i="2" s="1"/>
  <c r="J62" i="2"/>
  <c r="L62" i="2" s="1"/>
  <c r="J69" i="2"/>
  <c r="L69" i="2" s="1"/>
  <c r="IH6" i="1"/>
  <c r="IK6" i="1" s="1"/>
  <c r="S61" i="1" s="1"/>
  <c r="FL4" i="1"/>
  <c r="FO4" i="1" s="1"/>
  <c r="FM4" i="1"/>
  <c r="EG6" i="1"/>
  <c r="EJ6" i="1" s="1"/>
  <c r="S47" i="1" s="1"/>
  <c r="J11" i="2"/>
  <c r="L11" i="2" s="1"/>
  <c r="AG17" i="1"/>
  <c r="AH17" i="1" s="1"/>
  <c r="AM17" i="1" s="1"/>
  <c r="AG25" i="1"/>
  <c r="AH25" i="1" s="1"/>
  <c r="AM25" i="1" s="1"/>
  <c r="AG33" i="1"/>
  <c r="AH33" i="1" s="1"/>
  <c r="AM33" i="1" s="1"/>
  <c r="G16" i="2"/>
  <c r="J16" i="2"/>
  <c r="L16" i="2" s="1"/>
  <c r="J20" i="2"/>
  <c r="L20" i="2" s="1"/>
  <c r="G24" i="2"/>
  <c r="J24" i="2"/>
  <c r="L24" i="2" s="1"/>
  <c r="J28" i="2"/>
  <c r="L28" i="2" s="1"/>
  <c r="J32" i="2"/>
  <c r="L32" i="2" s="1"/>
  <c r="J36" i="2"/>
  <c r="L36" i="2" s="1"/>
  <c r="J40" i="2"/>
  <c r="L40" i="2" s="1"/>
  <c r="AG42" i="1"/>
  <c r="AH42" i="1" s="1"/>
  <c r="AM42" i="1" s="1"/>
  <c r="AG50" i="1"/>
  <c r="AH50" i="1" s="1"/>
  <c r="AM50" i="1" s="1"/>
  <c r="AG58" i="1"/>
  <c r="AH58" i="1" s="1"/>
  <c r="AM58" i="1" s="1"/>
  <c r="J47" i="2"/>
  <c r="L47" i="2" s="1"/>
  <c r="J53" i="2"/>
  <c r="L53" i="2" s="1"/>
  <c r="J57" i="2"/>
  <c r="L57" i="2" s="1"/>
  <c r="G61" i="2"/>
  <c r="J61" i="2"/>
  <c r="L61" i="2" s="1"/>
  <c r="AG65" i="1"/>
  <c r="AH65" i="1" s="1"/>
  <c r="J68" i="2"/>
  <c r="L68" i="2" s="1"/>
  <c r="AG12" i="1"/>
  <c r="AH12" i="1" s="1"/>
  <c r="AM12" i="1" s="1"/>
  <c r="AG19" i="1"/>
  <c r="AH19" i="1" s="1"/>
  <c r="AG27" i="1"/>
  <c r="AH27" i="1" s="1"/>
  <c r="AM27" i="1" s="1"/>
  <c r="AG35" i="1"/>
  <c r="AH35" i="1" s="1"/>
  <c r="AM35" i="1" s="1"/>
  <c r="J18" i="2"/>
  <c r="L18" i="2" s="1"/>
  <c r="G18" i="2"/>
  <c r="J22" i="2"/>
  <c r="L22" i="2" s="1"/>
  <c r="G22" i="2"/>
  <c r="J26" i="2"/>
  <c r="L26" i="2" s="1"/>
  <c r="G26" i="2"/>
  <c r="J30" i="2"/>
  <c r="L30" i="2" s="1"/>
  <c r="G30" i="2"/>
  <c r="J34" i="2"/>
  <c r="L34" i="2" s="1"/>
  <c r="G34" i="2"/>
  <c r="J38" i="2"/>
  <c r="L38" i="2" s="1"/>
  <c r="G38" i="2"/>
  <c r="AG40" i="1"/>
  <c r="AH40" i="1" s="1"/>
  <c r="AG48" i="1"/>
  <c r="AH48" i="1" s="1"/>
  <c r="AM48" i="1" s="1"/>
  <c r="AG56" i="1"/>
  <c r="AH56" i="1" s="1"/>
  <c r="G43" i="2"/>
  <c r="J43" i="2"/>
  <c r="L43" i="2" s="1"/>
  <c r="G51" i="2"/>
  <c r="J51" i="2"/>
  <c r="L51" i="2" s="1"/>
  <c r="G55" i="2"/>
  <c r="J55" i="2"/>
  <c r="L55" i="2" s="1"/>
  <c r="G59" i="2"/>
  <c r="J59" i="2"/>
  <c r="L59" i="2" s="1"/>
  <c r="G65" i="2"/>
  <c r="J65" i="2"/>
  <c r="L65" i="2" s="1"/>
  <c r="AG67" i="1"/>
  <c r="AH67" i="1" s="1"/>
  <c r="AM67" i="1" s="1"/>
  <c r="FM6" i="1"/>
  <c r="FL6" i="1"/>
  <c r="FN6" i="1" s="1"/>
  <c r="FQ6" i="1" s="1"/>
  <c r="S68" i="1" s="1"/>
  <c r="J12" i="2"/>
  <c r="L12" i="2" s="1"/>
  <c r="AG9" i="1"/>
  <c r="AH9" i="1" s="1"/>
  <c r="AM9" i="1" s="1"/>
  <c r="J19" i="2"/>
  <c r="L19" i="2" s="1"/>
  <c r="J23" i="2"/>
  <c r="L23" i="2" s="1"/>
  <c r="G27" i="2"/>
  <c r="J27" i="2"/>
  <c r="L27" i="2" s="1"/>
  <c r="J31" i="2"/>
  <c r="L31" i="2" s="1"/>
  <c r="J35" i="2"/>
  <c r="L35" i="2" s="1"/>
  <c r="J39" i="2"/>
  <c r="L39" i="2" s="1"/>
  <c r="AG18" i="1"/>
  <c r="AH18" i="1" s="1"/>
  <c r="AM18" i="1" s="1"/>
  <c r="AG26" i="1"/>
  <c r="AH26" i="1" s="1"/>
  <c r="AM26" i="1" s="1"/>
  <c r="AG34" i="1"/>
  <c r="AH34" i="1" s="1"/>
  <c r="AM34" i="1" s="1"/>
  <c r="J44" i="2"/>
  <c r="L44" i="2" s="1"/>
  <c r="J48" i="2"/>
  <c r="L48" i="2" s="1"/>
  <c r="J52" i="2"/>
  <c r="L52" i="2" s="1"/>
  <c r="G52" i="2"/>
  <c r="J56" i="2"/>
  <c r="L56" i="2" s="1"/>
  <c r="J60" i="2"/>
  <c r="L60" i="2" s="1"/>
  <c r="J64" i="2"/>
  <c r="L64" i="2" s="1"/>
  <c r="AG45" i="1"/>
  <c r="AH45" i="1" s="1"/>
  <c r="AM45" i="1" s="1"/>
  <c r="AG55" i="1"/>
  <c r="AH55" i="1" s="1"/>
  <c r="AM55" i="1" s="1"/>
  <c r="J67" i="2"/>
  <c r="L67" i="2" s="1"/>
  <c r="J71" i="2"/>
  <c r="L71" i="2" s="1"/>
  <c r="AG66" i="1"/>
  <c r="AH66" i="1" s="1"/>
  <c r="J14" i="2"/>
  <c r="L14" i="2" s="1"/>
  <c r="AG11" i="1"/>
  <c r="AH11" i="1" s="1"/>
  <c r="AM11" i="1" s="1"/>
  <c r="AG10" i="1"/>
  <c r="AH10" i="1" s="1"/>
  <c r="AM10" i="1" s="1"/>
  <c r="J15" i="2"/>
  <c r="L15" i="2" s="1"/>
  <c r="AG21" i="1"/>
  <c r="AH21" i="1" s="1"/>
  <c r="AM21" i="1" s="1"/>
  <c r="AG29" i="1"/>
  <c r="AH29" i="1" s="1"/>
  <c r="AM29" i="1" s="1"/>
  <c r="AG37" i="1"/>
  <c r="AH37" i="1" s="1"/>
  <c r="AM37" i="1" s="1"/>
  <c r="AG46" i="1"/>
  <c r="AH46" i="1" s="1"/>
  <c r="AM46" i="1" s="1"/>
  <c r="AG54" i="1"/>
  <c r="AH54" i="1" s="1"/>
  <c r="AG62" i="1"/>
  <c r="AH62" i="1" s="1"/>
  <c r="AG69" i="1"/>
  <c r="AH69" i="1" s="1"/>
  <c r="CZ5" i="1" l="1"/>
  <c r="DC5" i="1" s="1"/>
  <c r="R8" i="1" s="1"/>
  <c r="AC14" i="2" s="1"/>
  <c r="U13" i="2" s="1"/>
  <c r="W13" i="2" s="1"/>
  <c r="G40" i="2"/>
  <c r="CZ4" i="1"/>
  <c r="DC4" i="1" s="1"/>
  <c r="Q8" i="1" s="1"/>
  <c r="Y8" i="1" s="1"/>
  <c r="AJ8" i="1" s="1"/>
  <c r="IJ4" i="1"/>
  <c r="T61" i="1" s="1"/>
  <c r="AA61" i="1" s="1"/>
  <c r="AI61" i="1" s="1"/>
  <c r="AC22" i="2"/>
  <c r="U20" i="2" s="1"/>
  <c r="W20" i="2" s="1"/>
  <c r="Z43" i="1"/>
  <c r="AC43" i="1" s="1"/>
  <c r="AD43" i="1" s="1"/>
  <c r="GX4" i="1"/>
  <c r="GY4" i="1" s="1"/>
  <c r="T43" i="1" s="1"/>
  <c r="AA43" i="1" s="1"/>
  <c r="AI43" i="1" s="1"/>
  <c r="G54" i="2"/>
  <c r="FN4" i="1"/>
  <c r="FQ4" i="1" s="1"/>
  <c r="Q68" i="1" s="1"/>
  <c r="Y68" i="1" s="1"/>
  <c r="G44" i="2"/>
  <c r="G19" i="2"/>
  <c r="G14" i="2"/>
  <c r="G60" i="2"/>
  <c r="DB6" i="1"/>
  <c r="V8" i="1" s="1"/>
  <c r="G28" i="2"/>
  <c r="AC16" i="2"/>
  <c r="U15" i="2" s="1"/>
  <c r="W15" i="2" s="1"/>
  <c r="Z61" i="1"/>
  <c r="AC61" i="1" s="1"/>
  <c r="AD61" i="1" s="1"/>
  <c r="G13" i="2"/>
  <c r="G12" i="2"/>
  <c r="FP4" i="1"/>
  <c r="T68" i="1" s="1"/>
  <c r="AA68" i="1" s="1"/>
  <c r="AI68" i="1" s="1"/>
  <c r="G35" i="2"/>
  <c r="G46" i="2"/>
  <c r="G39" i="2"/>
  <c r="AM13" i="1"/>
  <c r="G15" i="2"/>
  <c r="G11" i="2"/>
  <c r="G48" i="2"/>
  <c r="G31" i="2"/>
  <c r="G50" i="2"/>
  <c r="AM66" i="1"/>
  <c r="G68" i="2"/>
  <c r="G29" i="2"/>
  <c r="AM65" i="1"/>
  <c r="G67" i="2"/>
  <c r="AM15" i="1"/>
  <c r="G17" i="2"/>
  <c r="AM51" i="1"/>
  <c r="G53" i="2"/>
  <c r="AM30" i="1"/>
  <c r="G32" i="2"/>
  <c r="G37" i="2"/>
  <c r="AM62" i="1"/>
  <c r="G64" i="2"/>
  <c r="AM69" i="1"/>
  <c r="G71" i="2"/>
  <c r="AM54" i="1"/>
  <c r="G56" i="2"/>
  <c r="AM23" i="1"/>
  <c r="G25" i="2"/>
  <c r="AM56" i="1"/>
  <c r="G58" i="2"/>
  <c r="AM40" i="1"/>
  <c r="G42" i="2"/>
  <c r="AM19" i="1"/>
  <c r="G21" i="2"/>
  <c r="AM60" i="1"/>
  <c r="G62" i="2"/>
  <c r="AM31" i="1"/>
  <c r="G33" i="2"/>
  <c r="G23" i="2"/>
  <c r="G57" i="2"/>
  <c r="G47" i="2"/>
  <c r="G20" i="2"/>
  <c r="AI8" i="1"/>
  <c r="AE8" i="1"/>
  <c r="FO6" i="1"/>
  <c r="FP6" i="1" s="1"/>
  <c r="V68" i="1" s="1"/>
  <c r="AB47" i="1"/>
  <c r="Z47" i="1"/>
  <c r="AC47" i="1" s="1"/>
  <c r="G36" i="2"/>
  <c r="G69" i="2"/>
  <c r="AI47" i="1"/>
  <c r="AE47" i="1"/>
  <c r="AJ47" i="1"/>
  <c r="AB8" i="1" l="1"/>
  <c r="Z8" i="1"/>
  <c r="AC8" i="1" s="1"/>
  <c r="Y20" i="2"/>
  <c r="AJ43" i="1"/>
  <c r="AK43" i="1" s="1"/>
  <c r="J45" i="2" s="1"/>
  <c r="L45" i="2" s="1"/>
  <c r="AE43" i="1"/>
  <c r="AF43" i="1" s="1"/>
  <c r="AE68" i="1"/>
  <c r="AB68" i="1"/>
  <c r="AJ61" i="1"/>
  <c r="AK61" i="1" s="1"/>
  <c r="Z68" i="1"/>
  <c r="AC68" i="1" s="1"/>
  <c r="AE61" i="1"/>
  <c r="AF61" i="1" s="1"/>
  <c r="AC24" i="2"/>
  <c r="U22" i="2" s="1"/>
  <c r="W22" i="2" s="1"/>
  <c r="AC18" i="2"/>
  <c r="Y19" i="2" s="1"/>
  <c r="X27" i="2" s="1"/>
  <c r="AC15" i="2"/>
  <c r="U14" i="2" s="1"/>
  <c r="W14" i="2" s="1"/>
  <c r="AJ68" i="1"/>
  <c r="AN68" i="1" s="1"/>
  <c r="AD47" i="1"/>
  <c r="AF47" i="1" s="1"/>
  <c r="AN47" i="1"/>
  <c r="AK47" i="1"/>
  <c r="AN8" i="1"/>
  <c r="AK8" i="1"/>
  <c r="AD8" i="1" l="1"/>
  <c r="AF8" i="1" s="1"/>
  <c r="AG8" i="1" s="1"/>
  <c r="AH8" i="1" s="1"/>
  <c r="AM8" i="1" s="1"/>
  <c r="AN43" i="1"/>
  <c r="AG43" i="1"/>
  <c r="AH43" i="1" s="1"/>
  <c r="AD68" i="1"/>
  <c r="AF68" i="1" s="1"/>
  <c r="AG68" i="1" s="1"/>
  <c r="AH68" i="1" s="1"/>
  <c r="U17" i="2"/>
  <c r="W17" i="2" s="1"/>
  <c r="AD19" i="2"/>
  <c r="AC26" i="2" s="1"/>
  <c r="AN61" i="1"/>
  <c r="Y22" i="2"/>
  <c r="AC23" i="2"/>
  <c r="Y21" i="2" s="1"/>
  <c r="AC9" i="2"/>
  <c r="P9" i="2" s="1"/>
  <c r="V9" i="2" s="1"/>
  <c r="AK68" i="1"/>
  <c r="J70" i="2" s="1"/>
  <c r="L70" i="2" s="1"/>
  <c r="AG61" i="1"/>
  <c r="AH61" i="1" s="1"/>
  <c r="J49" i="2"/>
  <c r="L49" i="2" s="1"/>
  <c r="J63" i="2"/>
  <c r="L63" i="2" s="1"/>
  <c r="J10" i="2"/>
  <c r="L10" i="2" s="1"/>
  <c r="G10" i="2"/>
  <c r="AG47" i="1"/>
  <c r="AH47" i="1" s="1"/>
  <c r="AM43" i="1" l="1"/>
  <c r="G45" i="2"/>
  <c r="AE8" i="2"/>
  <c r="AC20" i="2"/>
  <c r="AD26" i="2" s="1"/>
  <c r="AC27" i="2" s="1"/>
  <c r="AC28" i="2"/>
  <c r="U25" i="2" s="1"/>
  <c r="U21" i="2"/>
  <c r="W21" i="2" s="1"/>
  <c r="AM68" i="1"/>
  <c r="G70" i="2"/>
  <c r="AM47" i="1"/>
  <c r="G49" i="2"/>
  <c r="AM61" i="1"/>
  <c r="G63" i="2"/>
  <c r="U19" i="2" l="1"/>
  <c r="W19" i="2" s="1"/>
  <c r="W25" i="2"/>
  <c r="W24" i="2"/>
  <c r="AC29" i="2"/>
  <c r="U24" i="2"/>
  <c r="AC30" i="2" l="1"/>
  <c r="V27" i="2" s="1"/>
  <c r="W26" i="2"/>
  <c r="U26" i="2"/>
  <c r="AC31" i="2" l="1"/>
  <c r="AB42" i="2" s="1"/>
  <c r="U27" i="2"/>
  <c r="AS42" i="2" l="1"/>
  <c r="X42" i="2" s="1"/>
  <c r="AW42" i="2" s="1"/>
  <c r="BI42" i="2" s="1"/>
  <c r="AJ42" i="2" l="1"/>
</calcChain>
</file>

<file path=xl/comments1.xml><?xml version="1.0" encoding="utf-8"?>
<comments xmlns="http://schemas.openxmlformats.org/spreadsheetml/2006/main">
  <authors>
    <author>Igor</author>
  </authors>
  <commentList>
    <comment ref="AF42" authorId="0" shapeId="0">
      <text>
        <r>
          <rPr>
            <sz val="9"/>
            <color indexed="81"/>
            <rFont val="宋体"/>
            <charset val="134"/>
          </rPr>
          <t>BEARING TO OBGECT</t>
        </r>
      </text>
    </comment>
  </commentList>
</comments>
</file>

<file path=xl/sharedStrings.xml><?xml version="1.0" encoding="utf-8"?>
<sst xmlns="http://schemas.openxmlformats.org/spreadsheetml/2006/main" count="528" uniqueCount="220">
  <si>
    <t>Name</t>
  </si>
  <si>
    <t>SUN</t>
  </si>
  <si>
    <t>Mars</t>
  </si>
  <si>
    <t>Venus</t>
  </si>
  <si>
    <t>Jupiter</t>
  </si>
  <si>
    <t>RA2000</t>
  </si>
  <si>
    <t>DEC2000</t>
  </si>
  <si>
    <t>SHApr</t>
  </si>
  <si>
    <t>Decpr</t>
  </si>
  <si>
    <t>nutdl</t>
  </si>
  <si>
    <t>nutde</t>
  </si>
  <si>
    <t>SHA</t>
  </si>
  <si>
    <t>decl</t>
  </si>
  <si>
    <t>t</t>
  </si>
  <si>
    <t>Om</t>
  </si>
  <si>
    <t>L</t>
  </si>
  <si>
    <t>L1</t>
  </si>
  <si>
    <t>e</t>
  </si>
  <si>
    <t>dp</t>
  </si>
  <si>
    <t>de</t>
  </si>
  <si>
    <t>corr</t>
  </si>
  <si>
    <t>GHAAries</t>
  </si>
  <si>
    <t>G</t>
  </si>
  <si>
    <t>ec</t>
  </si>
  <si>
    <t>l</t>
  </si>
  <si>
    <t>E</t>
  </si>
  <si>
    <t>declsun</t>
  </si>
  <si>
    <t>Y</t>
  </si>
  <si>
    <t>X</t>
  </si>
  <si>
    <t>a</t>
  </si>
  <si>
    <t>LST</t>
  </si>
  <si>
    <t>GHAsun</t>
  </si>
  <si>
    <t>Ns</t>
  </si>
  <si>
    <t>is</t>
  </si>
  <si>
    <t>ws</t>
  </si>
  <si>
    <t>as</t>
  </si>
  <si>
    <t>es</t>
  </si>
  <si>
    <t>Ms</t>
  </si>
  <si>
    <t>Es</t>
  </si>
  <si>
    <t>ecl</t>
  </si>
  <si>
    <t>xv</t>
  </si>
  <si>
    <t>yv</t>
  </si>
  <si>
    <t>vs</t>
  </si>
  <si>
    <t>rs</t>
  </si>
  <si>
    <t>lons</t>
  </si>
  <si>
    <t>xs</t>
  </si>
  <si>
    <t>ys</t>
  </si>
  <si>
    <t>xe</t>
  </si>
  <si>
    <t>ye</t>
  </si>
  <si>
    <t>ze</t>
  </si>
  <si>
    <t>Ras</t>
  </si>
  <si>
    <t>x</t>
  </si>
  <si>
    <t>Decs</t>
  </si>
  <si>
    <t>Nm</t>
  </si>
  <si>
    <t>im</t>
  </si>
  <si>
    <t>wm</t>
  </si>
  <si>
    <t>am</t>
  </si>
  <si>
    <t>em</t>
  </si>
  <si>
    <t>Mm</t>
  </si>
  <si>
    <t>Em</t>
  </si>
  <si>
    <t>xvm</t>
  </si>
  <si>
    <t>yvm</t>
  </si>
  <si>
    <t>vm</t>
  </si>
  <si>
    <t>rm</t>
  </si>
  <si>
    <t>xh</t>
  </si>
  <si>
    <t>yh</t>
  </si>
  <si>
    <t>zh</t>
  </si>
  <si>
    <t>loneclm</t>
  </si>
  <si>
    <t>latecl</t>
  </si>
  <si>
    <t>Ls</t>
  </si>
  <si>
    <t>Lm</t>
  </si>
  <si>
    <t>D</t>
  </si>
  <si>
    <t>F</t>
  </si>
  <si>
    <t>dlo1</t>
  </si>
  <si>
    <t>dlo2</t>
  </si>
  <si>
    <t>dlo3</t>
  </si>
  <si>
    <t>dlo4</t>
  </si>
  <si>
    <t>dlo5</t>
  </si>
  <si>
    <t>dlo6</t>
  </si>
  <si>
    <t>dlo7</t>
  </si>
  <si>
    <t>dlo8</t>
  </si>
  <si>
    <t>dlo9</t>
  </si>
  <si>
    <t>dlo10</t>
  </si>
  <si>
    <t>dlo11</t>
  </si>
  <si>
    <t>dlo12</t>
  </si>
  <si>
    <t>lonm</t>
  </si>
  <si>
    <t>dla1</t>
  </si>
  <si>
    <t>dla2</t>
  </si>
  <si>
    <t>dla3</t>
  </si>
  <si>
    <t>dla4</t>
  </si>
  <si>
    <t>dla5</t>
  </si>
  <si>
    <t>latm</t>
  </si>
  <si>
    <t>rm1</t>
  </si>
  <si>
    <t>xg</t>
  </si>
  <si>
    <t>yg</t>
  </si>
  <si>
    <t>zg</t>
  </si>
  <si>
    <t>Ram</t>
  </si>
  <si>
    <t>Declm</t>
  </si>
  <si>
    <t>GHA</t>
  </si>
  <si>
    <t>Nmars</t>
  </si>
  <si>
    <t>imars</t>
  </si>
  <si>
    <t>wmars</t>
  </si>
  <si>
    <t>amars</t>
  </si>
  <si>
    <t>emars</t>
  </si>
  <si>
    <t>Mmars</t>
  </si>
  <si>
    <t>Emars</t>
  </si>
  <si>
    <t>xvmars</t>
  </si>
  <si>
    <t>yvmars</t>
  </si>
  <si>
    <t>vmars</t>
  </si>
  <si>
    <t>rmars</t>
  </si>
  <si>
    <t>xhmars</t>
  </si>
  <si>
    <t>yhmars</t>
  </si>
  <si>
    <t>zhmars</t>
  </si>
  <si>
    <t>loneclmars</t>
  </si>
  <si>
    <t>lateclmars</t>
  </si>
  <si>
    <t>loncorr</t>
  </si>
  <si>
    <t>Ramars</t>
  </si>
  <si>
    <t>Decmars</t>
  </si>
  <si>
    <t>N</t>
  </si>
  <si>
    <t>i</t>
  </si>
  <si>
    <t>w</t>
  </si>
  <si>
    <t>M</t>
  </si>
  <si>
    <t>v</t>
  </si>
  <si>
    <t>r</t>
  </si>
  <si>
    <t>lonecl</t>
  </si>
  <si>
    <t>RA</t>
  </si>
  <si>
    <t>Dec</t>
  </si>
  <si>
    <t>lo1</t>
  </si>
  <si>
    <t>locorr</t>
  </si>
  <si>
    <t>la1</t>
  </si>
  <si>
    <t>lacorr</t>
  </si>
  <si>
    <t>Acamar</t>
  </si>
  <si>
    <t>Achernar</t>
  </si>
  <si>
    <t>Acrux</t>
  </si>
  <si>
    <t>Adhara</t>
  </si>
  <si>
    <t>Sun</t>
  </si>
  <si>
    <t>Aldebaran</t>
  </si>
  <si>
    <t>Moon</t>
  </si>
  <si>
    <t>Alioth</t>
  </si>
  <si>
    <t>Alkaid</t>
  </si>
  <si>
    <t>Al Na'ir</t>
  </si>
  <si>
    <t>Alnilam</t>
  </si>
  <si>
    <t>Alphard</t>
  </si>
  <si>
    <t>Alphecca</t>
  </si>
  <si>
    <t>Alpheratz</t>
  </si>
  <si>
    <t>Altair</t>
  </si>
  <si>
    <t>Ankaa</t>
  </si>
  <si>
    <t>Antares</t>
  </si>
  <si>
    <t>Arcturus</t>
  </si>
  <si>
    <t>Atria</t>
  </si>
  <si>
    <t>Avior</t>
  </si>
  <si>
    <t>Bellatrix</t>
  </si>
  <si>
    <t>Betelgeuse</t>
  </si>
  <si>
    <t>Canopus</t>
  </si>
  <si>
    <t>Capella</t>
  </si>
  <si>
    <t>Deneb</t>
  </si>
  <si>
    <t>Denebola</t>
  </si>
  <si>
    <t>Diphda</t>
  </si>
  <si>
    <t>Dubhe</t>
  </si>
  <si>
    <t>Elnath</t>
  </si>
  <si>
    <t>Eltanin</t>
  </si>
  <si>
    <t>Enif</t>
  </si>
  <si>
    <t>Formalhaut</t>
  </si>
  <si>
    <t>Gacrux</t>
  </si>
  <si>
    <t>Gienah</t>
  </si>
  <si>
    <t>Hadar</t>
  </si>
  <si>
    <t>Hamal</t>
  </si>
  <si>
    <t>Kaus Austr.</t>
  </si>
  <si>
    <t>Kochab</t>
  </si>
  <si>
    <t>Markab</t>
  </si>
  <si>
    <t>Menkar</t>
  </si>
  <si>
    <t>Menkent</t>
  </si>
  <si>
    <t>Miaplacidus</t>
  </si>
  <si>
    <t>Mirfak</t>
  </si>
  <si>
    <t>Nunki</t>
  </si>
  <si>
    <t>Peacock</t>
  </si>
  <si>
    <t>Pollux</t>
  </si>
  <si>
    <t>Procyon</t>
  </si>
  <si>
    <t>Rasalhague</t>
  </si>
  <si>
    <t>Regulus</t>
  </si>
  <si>
    <t>Rigel</t>
  </si>
  <si>
    <t>Rigil Kent</t>
  </si>
  <si>
    <t>Sabik</t>
  </si>
  <si>
    <t>Schedar</t>
  </si>
  <si>
    <t>Shaula</t>
  </si>
  <si>
    <t>Sirius</t>
  </si>
  <si>
    <t>Spica</t>
  </si>
  <si>
    <t>Suhail</t>
  </si>
  <si>
    <t>Vega</t>
  </si>
  <si>
    <t>Zuben'ubi</t>
  </si>
  <si>
    <t>Saturnus</t>
  </si>
  <si>
    <t>Aries</t>
  </si>
  <si>
    <t>OBJECTS</t>
  </si>
  <si>
    <t>/v</t>
  </si>
  <si>
    <t>Height</t>
  </si>
  <si>
    <t xml:space="preserve">Azimuth: </t>
  </si>
  <si>
    <t>Your bearing</t>
  </si>
  <si>
    <t>Incr.</t>
  </si>
  <si>
    <t>g</t>
  </si>
  <si>
    <t>P</t>
  </si>
  <si>
    <t>decl.</t>
  </si>
  <si>
    <t>d</t>
  </si>
  <si>
    <t>A</t>
  </si>
  <si>
    <t>B</t>
  </si>
  <si>
    <t>C</t>
  </si>
  <si>
    <t>Z</t>
  </si>
  <si>
    <t>DATE</t>
  </si>
  <si>
    <t>Latitude</t>
  </si>
  <si>
    <t>UTC</t>
  </si>
  <si>
    <t>Longitude</t>
  </si>
  <si>
    <t>SHIP'S HEAD</t>
  </si>
  <si>
    <t>BEARING</t>
  </si>
  <si>
    <t>OBJECT</t>
  </si>
  <si>
    <t>ERROR</t>
  </si>
  <si>
    <t>VARIATION</t>
  </si>
  <si>
    <t>DEVIATION</t>
  </si>
  <si>
    <t>GYRO</t>
  </si>
  <si>
    <t>STANDART</t>
  </si>
  <si>
    <t>STEERING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</si>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</sst>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164" formatCode="00.0&quot;'&quot;"/>
    <numFmt numFmtId="165" formatCode="[$-409]d\ mmm/\ yyyy;@"/>
    <numFmt numFmtId="166" formatCode="&quot;( Altitude: &quot;00;&quot;( Altitude: &quot;00"/>
    <numFmt numFmtId="167" formatCode="00"/>
    <numFmt numFmtId="168" formatCode="00.0"/>
    <numFmt numFmtId="169" formatCode="000.0"/>
    <numFmt numFmtId="170" formatCode="&quot;UTC= LT - &quot;0;&quot;UTC= LT + &quot;0"/>
    <numFmt numFmtId="171" formatCode="00&quot;°&quot;"/>
    <numFmt numFmtId="172" formatCode="00&quot;m&quot;"/>
    <numFmt numFmtId="173" formatCode="000&quot;°&quot;"/>
    <numFmt numFmtId="174" formatCode="000.0&quot;°&quot;"/>
    <numFmt numFmtId="175" formatCode="00.0&quot; )&quot;"/>
    <numFmt numFmtId="176" formatCode="00&quot;h&quot;"/>
    <numFmt numFmtId="177" formatCode="0.0&quot;°E&quot;;0.0&quot;°W&quot;"/>
    <numFmt numFmtId="178" formatCode="00&quot;s&quot;"/>
    <numFmt numFmtId="179" formatCode="yyyy/m/d\ h:mm"/>
  </numFmts>
  <fonts count="19">
    <font>
      <sz val="12"/>
      <name val="宋体"/>
      <charset val="134"/>
    </font>
    <font>
      <sz val="10"/>
      <name val="Times New Roman"/>
      <charset val="134"/>
    </font>
    <font>
      <sz val="10"/>
      <name val="Arial"/>
      <family val="2"/>
      <charset val="204"/>
    </font>
    <font>
      <sz val="10"/>
      <color indexed="22"/>
      <name val="Arial"/>
      <family val="2"/>
      <charset val="204"/>
    </font>
    <font>
      <b/>
      <sz val="10"/>
      <name val="Arial"/>
      <family val="2"/>
      <charset val="204"/>
    </font>
    <font>
      <sz val="12"/>
      <name val="Arial"/>
      <family val="2"/>
      <charset val="204"/>
    </font>
    <font>
      <i/>
      <sz val="11"/>
      <name val="Arial"/>
      <family val="2"/>
      <charset val="204"/>
    </font>
    <font>
      <sz val="16"/>
      <name val="Arial"/>
      <family val="2"/>
      <charset val="204"/>
    </font>
    <font>
      <b/>
      <sz val="12"/>
      <name val="Arial"/>
      <family val="2"/>
      <charset val="204"/>
    </font>
    <font>
      <b/>
      <u/>
      <sz val="10"/>
      <name val="Arial"/>
      <family val="2"/>
      <charset val="204"/>
    </font>
    <font>
      <i/>
      <sz val="10"/>
      <name val="Arial"/>
      <family val="2"/>
      <charset val="204"/>
    </font>
    <font>
      <b/>
      <sz val="14"/>
      <name val="Arial"/>
      <family val="2"/>
      <charset val="204"/>
    </font>
    <font>
      <u/>
      <sz val="10"/>
      <name val="Arial"/>
      <family val="2"/>
      <charset val="204"/>
    </font>
    <font>
      <sz val="10"/>
      <color indexed="9"/>
      <name val="Arial"/>
      <family val="2"/>
      <charset val="204"/>
    </font>
    <font>
      <b/>
      <sz val="10"/>
      <color indexed="9"/>
      <name val="Arial"/>
      <family val="2"/>
      <charset val="204"/>
    </font>
    <font>
      <sz val="14"/>
      <name val="Arial"/>
      <family val="2"/>
      <charset val="204"/>
    </font>
    <font>
      <sz val="10"/>
      <name val="Arial Unicode MS"/>
      <family val="2"/>
      <charset val="204"/>
    </font>
    <font>
      <sz val="9"/>
      <color indexed="81"/>
      <name val="宋体"/>
      <charset val="134"/>
    </font>
    <font>
      <sz val="8"/>
      <color rgb="FF000000"/>
      <name val="Tahoma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64">
    <xf numFmtId="0" fontId="1" fillId="0" borderId="0" xfId="0" applyFont="1" applyAlignment="1"/>
    <xf numFmtId="0" fontId="2" fillId="0" borderId="0" xfId="1" applyFont="1" applyAlignment="1" applyProtection="1">
      <alignment horizontal="center" vertical="center"/>
      <protection hidden="1"/>
    </xf>
    <xf numFmtId="0" fontId="2" fillId="0" borderId="0" xfId="1" applyFont="1" applyAlignment="1" applyProtection="1">
      <alignment vertical="center"/>
      <protection hidden="1"/>
    </xf>
    <xf numFmtId="0" fontId="2" fillId="0" borderId="0" xfId="1" applyFont="1" applyFill="1" applyAlignment="1" applyProtection="1">
      <alignment vertical="center"/>
      <protection hidden="1"/>
    </xf>
    <xf numFmtId="0" fontId="3" fillId="0" borderId="0" xfId="1" applyFont="1" applyAlignment="1" applyProtection="1">
      <alignment vertical="center"/>
      <protection hidden="1"/>
    </xf>
    <xf numFmtId="0" fontId="2" fillId="0" borderId="0" xfId="1" applyFont="1" applyBorder="1" applyAlignment="1" applyProtection="1">
      <alignment horizontal="center" vertical="center"/>
      <protection hidden="1"/>
    </xf>
    <xf numFmtId="169" fontId="2" fillId="0" borderId="0" xfId="1" applyNumberFormat="1" applyFont="1" applyFill="1" applyBorder="1" applyAlignment="1" applyProtection="1">
      <alignment horizontal="center" vertical="center"/>
      <protection hidden="1"/>
    </xf>
    <xf numFmtId="0" fontId="2" fillId="0" borderId="0" xfId="1" applyFont="1" applyBorder="1" applyAlignment="1" applyProtection="1">
      <alignment vertical="center"/>
      <protection hidden="1"/>
    </xf>
    <xf numFmtId="0" fontId="2" fillId="0" borderId="0" xfId="1" applyFont="1" applyFill="1" applyBorder="1" applyAlignment="1" applyProtection="1">
      <alignment horizontal="center" vertical="center"/>
      <protection hidden="1"/>
    </xf>
    <xf numFmtId="0" fontId="2" fillId="0" borderId="0" xfId="1" applyFont="1" applyFill="1" applyBorder="1" applyAlignment="1" applyProtection="1">
      <alignment vertical="center"/>
      <protection hidden="1"/>
    </xf>
    <xf numFmtId="168" fontId="2" fillId="0" borderId="0" xfId="1" applyNumberFormat="1" applyFont="1" applyBorder="1" applyAlignment="1" applyProtection="1">
      <alignment vertical="center"/>
      <protection hidden="1"/>
    </xf>
    <xf numFmtId="0" fontId="7" fillId="0" borderId="0" xfId="1" applyFont="1" applyBorder="1" applyAlignment="1" applyProtection="1">
      <alignment vertical="center"/>
      <protection hidden="1"/>
    </xf>
    <xf numFmtId="0" fontId="9" fillId="0" borderId="0" xfId="1" applyFont="1" applyFill="1" applyBorder="1" applyAlignment="1" applyProtection="1">
      <alignment vertical="center" shrinkToFit="1"/>
      <protection hidden="1"/>
    </xf>
    <xf numFmtId="0" fontId="2" fillId="0" borderId="15" xfId="1" applyFont="1" applyFill="1" applyBorder="1" applyAlignment="1" applyProtection="1">
      <alignment horizontal="center" vertical="center"/>
      <protection hidden="1"/>
    </xf>
    <xf numFmtId="0" fontId="10" fillId="0" borderId="0" xfId="1" applyFont="1" applyFill="1" applyBorder="1" applyAlignment="1" applyProtection="1">
      <alignment vertical="center"/>
      <protection hidden="1"/>
    </xf>
    <xf numFmtId="168" fontId="10" fillId="0" borderId="0" xfId="1" applyNumberFormat="1" applyFont="1" applyFill="1" applyBorder="1" applyAlignment="1" applyProtection="1">
      <alignment horizontal="center" vertical="center"/>
      <protection hidden="1"/>
    </xf>
    <xf numFmtId="0" fontId="10" fillId="0" borderId="0" xfId="1" applyFont="1" applyFill="1" applyBorder="1" applyAlignment="1" applyProtection="1">
      <alignment horizontal="center" vertical="center"/>
      <protection hidden="1"/>
    </xf>
    <xf numFmtId="0" fontId="2" fillId="0" borderId="18" xfId="1" applyFont="1" applyBorder="1" applyAlignment="1" applyProtection="1">
      <alignment vertical="center"/>
      <protection hidden="1"/>
    </xf>
    <xf numFmtId="0" fontId="12" fillId="0" borderId="0" xfId="1" applyFont="1" applyFill="1" applyBorder="1" applyAlignment="1" applyProtection="1">
      <alignment vertical="center"/>
      <protection hidden="1"/>
    </xf>
    <xf numFmtId="0" fontId="13" fillId="0" borderId="0" xfId="1" applyFont="1" applyFill="1" applyBorder="1" applyAlignment="1" applyProtection="1">
      <alignment vertical="center"/>
      <protection hidden="1"/>
    </xf>
    <xf numFmtId="0" fontId="13" fillId="0" borderId="0" xfId="1" applyFont="1" applyAlignment="1" applyProtection="1">
      <alignment vertical="center"/>
      <protection hidden="1"/>
    </xf>
    <xf numFmtId="0" fontId="10" fillId="0" borderId="0" xfId="1" applyFont="1" applyAlignment="1" applyProtection="1">
      <alignment vertical="center"/>
      <protection hidden="1"/>
    </xf>
    <xf numFmtId="0" fontId="2" fillId="0" borderId="20" xfId="1" applyFont="1" applyBorder="1" applyAlignment="1" applyProtection="1">
      <alignment vertical="center"/>
      <protection hidden="1"/>
    </xf>
    <xf numFmtId="0" fontId="2" fillId="0" borderId="21" xfId="1" applyFont="1" applyBorder="1" applyAlignment="1" applyProtection="1">
      <alignment vertical="center"/>
      <protection hidden="1"/>
    </xf>
    <xf numFmtId="0" fontId="2" fillId="0" borderId="22" xfId="1" applyFont="1" applyBorder="1" applyAlignment="1" applyProtection="1">
      <alignment vertical="center"/>
      <protection hidden="1"/>
    </xf>
    <xf numFmtId="169" fontId="14" fillId="0" borderId="0" xfId="1" applyNumberFormat="1" applyFont="1" applyFill="1" applyBorder="1" applyAlignment="1" applyProtection="1">
      <alignment horizontal="center" vertical="center"/>
      <protection hidden="1"/>
    </xf>
    <xf numFmtId="169" fontId="4" fillId="0" borderId="0" xfId="1" applyNumberFormat="1" applyFont="1" applyFill="1" applyBorder="1" applyAlignment="1" applyProtection="1">
      <alignment horizontal="center" vertical="center"/>
      <protection hidden="1"/>
    </xf>
    <xf numFmtId="169" fontId="13" fillId="0" borderId="0" xfId="1" applyNumberFormat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179" fontId="2" fillId="0" borderId="0" xfId="1" applyNumberFormat="1" applyFont="1" applyAlignment="1" applyProtection="1">
      <alignment vertical="center"/>
      <protection hidden="1"/>
    </xf>
    <xf numFmtId="14" fontId="2" fillId="0" borderId="0" xfId="1" applyNumberFormat="1" applyFont="1" applyBorder="1" applyAlignment="1" applyProtection="1">
      <alignment vertical="center"/>
      <protection hidden="1"/>
    </xf>
    <xf numFmtId="0" fontId="4" fillId="0" borderId="0" xfId="1" applyFont="1" applyFill="1" applyBorder="1" applyAlignment="1" applyProtection="1">
      <alignment vertical="center" shrinkToFit="1"/>
      <protection hidden="1"/>
    </xf>
    <xf numFmtId="170" fontId="11" fillId="0" borderId="0" xfId="1" applyNumberFormat="1" applyFont="1" applyFill="1" applyBorder="1" applyAlignment="1" applyProtection="1">
      <alignment vertical="center"/>
      <protection hidden="1"/>
    </xf>
    <xf numFmtId="0" fontId="4" fillId="0" borderId="0" xfId="1" applyFont="1" applyFill="1" applyBorder="1" applyAlignment="1" applyProtection="1">
      <alignment vertical="center"/>
      <protection hidden="1"/>
    </xf>
    <xf numFmtId="0" fontId="1" fillId="0" borderId="0" xfId="1" applyAlignment="1" applyProtection="1">
      <protection hidden="1"/>
    </xf>
    <xf numFmtId="0" fontId="1" fillId="0" borderId="0" xfId="1" applyAlignment="1" applyProtection="1">
      <alignment horizontal="center"/>
      <protection hidden="1"/>
    </xf>
    <xf numFmtId="49" fontId="1" fillId="0" borderId="0" xfId="1" applyNumberFormat="1" applyAlignment="1" applyProtection="1">
      <protection hidden="1"/>
    </xf>
    <xf numFmtId="168" fontId="1" fillId="0" borderId="0" xfId="1" applyNumberFormat="1" applyAlignment="1" applyProtection="1">
      <protection hidden="1"/>
    </xf>
    <xf numFmtId="0" fontId="16" fillId="0" borderId="0" xfId="1" applyNumberFormat="1" applyFont="1" applyAlignment="1" applyProtection="1">
      <protection hidden="1"/>
    </xf>
    <xf numFmtId="0" fontId="1" fillId="0" borderId="0" xfId="1" applyNumberFormat="1" applyAlignment="1" applyProtection="1">
      <protection hidden="1"/>
    </xf>
    <xf numFmtId="0" fontId="1" fillId="0" borderId="0" xfId="1" applyFill="1" applyAlignment="1" applyProtection="1">
      <protection hidden="1"/>
    </xf>
    <xf numFmtId="0" fontId="16" fillId="0" borderId="0" xfId="1" applyFont="1" applyAlignment="1" applyProtection="1">
      <protection hidden="1"/>
    </xf>
    <xf numFmtId="168" fontId="1" fillId="0" borderId="0" xfId="1" applyNumberFormat="1" applyFill="1" applyAlignment="1" applyProtection="1">
      <protection hidden="1"/>
    </xf>
    <xf numFmtId="0" fontId="1" fillId="0" borderId="0" xfId="1" applyNumberFormat="1" applyFill="1" applyAlignment="1" applyProtection="1">
      <protection hidden="1"/>
    </xf>
    <xf numFmtId="0" fontId="16" fillId="0" borderId="0" xfId="1" applyFont="1" applyFill="1" applyAlignment="1" applyProtection="1">
      <protection hidden="1"/>
    </xf>
    <xf numFmtId="0" fontId="1" fillId="0" borderId="0" xfId="1" applyBorder="1" applyAlignment="1" applyProtection="1">
      <protection hidden="1"/>
    </xf>
    <xf numFmtId="0" fontId="4" fillId="0" borderId="0" xfId="1" applyFont="1" applyBorder="1" applyAlignment="1" applyProtection="1">
      <protection hidden="1"/>
    </xf>
    <xf numFmtId="0" fontId="1" fillId="0" borderId="0" xfId="1" applyFill="1" applyBorder="1" applyAlignment="1" applyProtection="1">
      <protection hidden="1"/>
    </xf>
    <xf numFmtId="0" fontId="1" fillId="0" borderId="0" xfId="1" applyFill="1" applyBorder="1" applyAlignment="1" applyProtection="1">
      <alignment horizontal="center"/>
      <protection hidden="1"/>
    </xf>
    <xf numFmtId="0" fontId="1" fillId="4" borderId="0" xfId="1" applyFill="1" applyAlignment="1" applyProtection="1">
      <protection hidden="1"/>
    </xf>
    <xf numFmtId="0" fontId="1" fillId="0" borderId="0" xfId="1" applyFill="1" applyAlignment="1" applyProtection="1">
      <alignment horizontal="center"/>
      <protection hidden="1"/>
    </xf>
    <xf numFmtId="0" fontId="1" fillId="0" borderId="0" xfId="1" applyAlignment="1" applyProtection="1">
      <alignment horizontal="center"/>
      <protection hidden="1"/>
    </xf>
    <xf numFmtId="0" fontId="5" fillId="2" borderId="9" xfId="1" applyFont="1" applyFill="1" applyBorder="1" applyAlignment="1" applyProtection="1">
      <alignment horizontal="right" vertical="center"/>
      <protection hidden="1"/>
    </xf>
    <xf numFmtId="0" fontId="5" fillId="2" borderId="16" xfId="1" applyFont="1" applyFill="1" applyBorder="1" applyAlignment="1" applyProtection="1">
      <alignment horizontal="right" vertical="center"/>
      <protection hidden="1"/>
    </xf>
    <xf numFmtId="0" fontId="5" fillId="2" borderId="10" xfId="1" applyFont="1" applyFill="1" applyBorder="1" applyAlignment="1" applyProtection="1">
      <alignment horizontal="right" vertical="center"/>
      <protection hidden="1"/>
    </xf>
    <xf numFmtId="0" fontId="5" fillId="2" borderId="17" xfId="1" applyFont="1" applyFill="1" applyBorder="1" applyAlignment="1" applyProtection="1">
      <alignment horizontal="right" vertical="center"/>
      <protection hidden="1"/>
    </xf>
    <xf numFmtId="173" fontId="8" fillId="0" borderId="16" xfId="1" applyNumberFormat="1" applyFont="1" applyFill="1" applyBorder="1" applyAlignment="1" applyProtection="1">
      <alignment horizontal="center" vertical="center"/>
      <protection hidden="1"/>
    </xf>
    <xf numFmtId="0" fontId="8" fillId="0" borderId="16" xfId="1" applyFont="1" applyFill="1" applyBorder="1" applyAlignment="1" applyProtection="1">
      <alignment horizontal="center" vertical="center"/>
      <protection hidden="1"/>
    </xf>
    <xf numFmtId="0" fontId="8" fillId="0" borderId="20" xfId="1" applyFont="1" applyFill="1" applyBorder="1" applyAlignment="1" applyProtection="1">
      <alignment horizontal="center" vertical="center"/>
      <protection hidden="1"/>
    </xf>
    <xf numFmtId="0" fontId="8" fillId="0" borderId="17" xfId="1" applyFont="1" applyFill="1" applyBorder="1" applyAlignment="1" applyProtection="1">
      <alignment horizontal="center" vertical="center"/>
      <protection hidden="1"/>
    </xf>
    <xf numFmtId="0" fontId="8" fillId="0" borderId="21" xfId="1" applyFont="1" applyFill="1" applyBorder="1" applyAlignment="1" applyProtection="1">
      <alignment horizontal="center" vertical="center"/>
      <protection hidden="1"/>
    </xf>
    <xf numFmtId="0" fontId="8" fillId="2" borderId="12" xfId="1" applyFont="1" applyFill="1" applyBorder="1" applyAlignment="1" applyProtection="1">
      <alignment horizontal="right" vertical="center"/>
      <protection hidden="1"/>
    </xf>
    <xf numFmtId="0" fontId="8" fillId="2" borderId="17" xfId="1" applyFont="1" applyFill="1" applyBorder="1" applyAlignment="1" applyProtection="1">
      <alignment horizontal="right" vertical="center"/>
      <protection hidden="1"/>
    </xf>
    <xf numFmtId="0" fontId="8" fillId="2" borderId="19" xfId="1" applyFont="1" applyFill="1" applyBorder="1" applyAlignment="1" applyProtection="1">
      <alignment horizontal="right" vertical="center"/>
      <protection hidden="1"/>
    </xf>
    <xf numFmtId="0" fontId="5" fillId="2" borderId="10" xfId="1" applyFont="1" applyFill="1" applyBorder="1" applyAlignment="1" applyProtection="1">
      <alignment horizontal="center" vertical="center" wrapText="1" shrinkToFit="1"/>
      <protection hidden="1"/>
    </xf>
    <xf numFmtId="0" fontId="5" fillId="2" borderId="17" xfId="1" applyFont="1" applyFill="1" applyBorder="1" applyAlignment="1" applyProtection="1">
      <alignment horizontal="center" vertical="center" wrapText="1" shrinkToFit="1"/>
      <protection hidden="1"/>
    </xf>
    <xf numFmtId="0" fontId="5" fillId="2" borderId="11" xfId="1" applyFont="1" applyFill="1" applyBorder="1" applyAlignment="1" applyProtection="1">
      <alignment horizontal="center" vertical="center" wrapText="1" shrinkToFit="1"/>
      <protection hidden="1"/>
    </xf>
    <xf numFmtId="0" fontId="5" fillId="2" borderId="18" xfId="1" applyFont="1" applyFill="1" applyBorder="1" applyAlignment="1" applyProtection="1">
      <alignment horizontal="center" vertical="center" wrapText="1" shrinkToFit="1"/>
      <protection hidden="1"/>
    </xf>
    <xf numFmtId="174" fontId="8" fillId="0" borderId="17" xfId="1" applyNumberFormat="1" applyFont="1" applyFill="1" applyBorder="1" applyAlignment="1" applyProtection="1">
      <alignment horizontal="center" vertical="center"/>
      <protection hidden="1"/>
    </xf>
    <xf numFmtId="0" fontId="8" fillId="0" borderId="18" xfId="1" applyFont="1" applyFill="1" applyBorder="1" applyAlignment="1" applyProtection="1">
      <alignment horizontal="center" vertical="center"/>
      <protection hidden="1"/>
    </xf>
    <xf numFmtId="0" fontId="8" fillId="0" borderId="22" xfId="1" applyFont="1" applyFill="1" applyBorder="1" applyAlignment="1" applyProtection="1">
      <alignment horizontal="center" vertical="center"/>
      <protection hidden="1"/>
    </xf>
    <xf numFmtId="0" fontId="4" fillId="2" borderId="1" xfId="1" applyFont="1" applyFill="1" applyBorder="1" applyAlignment="1" applyProtection="1">
      <alignment horizontal="center" vertical="center"/>
      <protection hidden="1"/>
    </xf>
    <xf numFmtId="0" fontId="4" fillId="2" borderId="2" xfId="1" applyFont="1" applyFill="1" applyBorder="1" applyAlignment="1" applyProtection="1">
      <alignment horizontal="center" vertical="center"/>
      <protection hidden="1"/>
    </xf>
    <xf numFmtId="0" fontId="4" fillId="2" borderId="3" xfId="1" applyFont="1" applyFill="1" applyBorder="1" applyAlignment="1" applyProtection="1">
      <alignment horizontal="center" vertical="center"/>
      <protection hidden="1"/>
    </xf>
    <xf numFmtId="0" fontId="4" fillId="2" borderId="4" xfId="1" applyFont="1" applyFill="1" applyBorder="1" applyAlignment="1" applyProtection="1">
      <alignment horizontal="center" vertical="center"/>
      <protection hidden="1"/>
    </xf>
    <xf numFmtId="0" fontId="4" fillId="2" borderId="5" xfId="1" applyFont="1" applyFill="1" applyBorder="1" applyAlignment="1" applyProtection="1">
      <alignment horizontal="center" vertical="center"/>
      <protection hidden="1"/>
    </xf>
    <xf numFmtId="0" fontId="4" fillId="2" borderId="6" xfId="1" applyFont="1" applyFill="1" applyBorder="1" applyAlignment="1" applyProtection="1">
      <alignment horizontal="center" vertical="center"/>
      <protection hidden="1"/>
    </xf>
    <xf numFmtId="169" fontId="4" fillId="2" borderId="1" xfId="1" applyNumberFormat="1" applyFont="1" applyFill="1" applyBorder="1" applyAlignment="1" applyProtection="1">
      <alignment horizontal="center" vertical="center"/>
      <protection hidden="1"/>
    </xf>
    <xf numFmtId="169" fontId="4" fillId="2" borderId="2" xfId="1" applyNumberFormat="1" applyFont="1" applyFill="1" applyBorder="1" applyAlignment="1" applyProtection="1">
      <alignment horizontal="center" vertical="center"/>
      <protection hidden="1"/>
    </xf>
    <xf numFmtId="169" fontId="4" fillId="2" borderId="3" xfId="1" applyNumberFormat="1" applyFont="1" applyFill="1" applyBorder="1" applyAlignment="1" applyProtection="1">
      <alignment horizontal="center" vertical="center"/>
      <protection hidden="1"/>
    </xf>
    <xf numFmtId="169" fontId="4" fillId="2" borderId="4" xfId="1" applyNumberFormat="1" applyFont="1" applyFill="1" applyBorder="1" applyAlignment="1" applyProtection="1">
      <alignment horizontal="center" vertical="center"/>
      <protection hidden="1"/>
    </xf>
    <xf numFmtId="169" fontId="4" fillId="2" borderId="5" xfId="1" applyNumberFormat="1" applyFont="1" applyFill="1" applyBorder="1" applyAlignment="1" applyProtection="1">
      <alignment horizontal="center" vertical="center"/>
      <protection hidden="1"/>
    </xf>
    <xf numFmtId="169" fontId="4" fillId="2" borderId="6" xfId="1" applyNumberFormat="1" applyFont="1" applyFill="1" applyBorder="1" applyAlignment="1" applyProtection="1">
      <alignment horizontal="center" vertical="center"/>
      <protection hidden="1"/>
    </xf>
    <xf numFmtId="168" fontId="2" fillId="0" borderId="7" xfId="1" applyNumberFormat="1" applyFont="1" applyBorder="1" applyAlignment="1" applyProtection="1">
      <alignment horizontal="center" vertical="center"/>
      <protection hidden="1"/>
    </xf>
    <xf numFmtId="168" fontId="2" fillId="0" borderId="0" xfId="1" applyNumberFormat="1" applyFont="1" applyBorder="1" applyAlignment="1" applyProtection="1">
      <alignment horizontal="center" vertical="center"/>
      <protection hidden="1"/>
    </xf>
    <xf numFmtId="168" fontId="2" fillId="0" borderId="8" xfId="1" applyNumberFormat="1" applyFont="1" applyBorder="1" applyAlignment="1" applyProtection="1">
      <alignment horizontal="center" vertical="center"/>
      <protection hidden="1"/>
    </xf>
    <xf numFmtId="169" fontId="2" fillId="0" borderId="7" xfId="1" applyNumberFormat="1" applyFont="1" applyFill="1" applyBorder="1" applyAlignment="1" applyProtection="1">
      <alignment horizontal="center" vertical="center"/>
      <protection hidden="1"/>
    </xf>
    <xf numFmtId="169" fontId="2" fillId="0" borderId="0" xfId="1" applyNumberFormat="1" applyFont="1" applyFill="1" applyBorder="1" applyAlignment="1" applyProtection="1">
      <alignment horizontal="center" vertical="center"/>
      <protection hidden="1"/>
    </xf>
    <xf numFmtId="169" fontId="2" fillId="0" borderId="8" xfId="1" applyNumberFormat="1" applyFont="1" applyFill="1" applyBorder="1" applyAlignment="1" applyProtection="1">
      <alignment horizontal="center" vertical="center"/>
      <protection hidden="1"/>
    </xf>
    <xf numFmtId="167" fontId="2" fillId="0" borderId="7" xfId="1" applyNumberFormat="1" applyFont="1" applyBorder="1" applyAlignment="1" applyProtection="1">
      <alignment horizontal="center" vertical="center"/>
      <protection hidden="1"/>
    </xf>
    <xf numFmtId="167" fontId="2" fillId="0" borderId="0" xfId="1" applyNumberFormat="1" applyFont="1" applyBorder="1" applyAlignment="1" applyProtection="1">
      <alignment horizontal="center" vertical="center"/>
      <protection hidden="1"/>
    </xf>
    <xf numFmtId="168" fontId="2" fillId="0" borderId="8" xfId="1" applyNumberFormat="1" applyFont="1" applyBorder="1" applyAlignment="1" applyProtection="1">
      <alignment vertical="center"/>
      <protection hidden="1"/>
    </xf>
    <xf numFmtId="0" fontId="15" fillId="3" borderId="2" xfId="1" applyFont="1" applyFill="1" applyBorder="1" applyAlignment="1" applyProtection="1">
      <alignment horizontal="left" vertical="center"/>
      <protection locked="0"/>
    </xf>
    <xf numFmtId="0" fontId="15" fillId="3" borderId="3" xfId="1" applyFont="1" applyFill="1" applyBorder="1" applyAlignment="1" applyProtection="1">
      <alignment horizontal="left" vertical="center"/>
      <protection locked="0"/>
    </xf>
    <xf numFmtId="0" fontId="15" fillId="3" borderId="5" xfId="1" applyFont="1" applyFill="1" applyBorder="1" applyAlignment="1" applyProtection="1">
      <alignment horizontal="left" vertical="center"/>
      <protection locked="0"/>
    </xf>
    <xf numFmtId="0" fontId="15" fillId="3" borderId="6" xfId="1" applyFont="1" applyFill="1" applyBorder="1" applyAlignment="1" applyProtection="1">
      <alignment horizontal="left" vertical="center"/>
      <protection locked="0"/>
    </xf>
    <xf numFmtId="171" fontId="15" fillId="3" borderId="2" xfId="1" applyNumberFormat="1" applyFont="1" applyFill="1" applyBorder="1" applyAlignment="1" applyProtection="1">
      <alignment horizontal="right" vertical="center"/>
      <protection locked="0"/>
    </xf>
    <xf numFmtId="171" fontId="15" fillId="3" borderId="5" xfId="1" applyNumberFormat="1" applyFont="1" applyFill="1" applyBorder="1" applyAlignment="1" applyProtection="1">
      <alignment horizontal="right" vertical="center"/>
      <protection locked="0"/>
    </xf>
    <xf numFmtId="164" fontId="15" fillId="3" borderId="2" xfId="1" applyNumberFormat="1" applyFont="1" applyFill="1" applyBorder="1" applyAlignment="1" applyProtection="1">
      <alignment horizontal="left" vertical="center"/>
      <protection locked="0"/>
    </xf>
    <xf numFmtId="164" fontId="15" fillId="3" borderId="5" xfId="1" applyNumberFormat="1" applyFont="1" applyFill="1" applyBorder="1" applyAlignment="1" applyProtection="1">
      <alignment horizontal="left" vertical="center"/>
      <protection locked="0"/>
    </xf>
    <xf numFmtId="176" fontId="11" fillId="3" borderId="17" xfId="1" applyNumberFormat="1" applyFont="1" applyFill="1" applyBorder="1" applyAlignment="1" applyProtection="1">
      <alignment horizontal="center" vertical="center"/>
      <protection locked="0"/>
    </xf>
    <xf numFmtId="172" fontId="11" fillId="3" borderId="17" xfId="1" applyNumberFormat="1" applyFont="1" applyFill="1" applyBorder="1" applyAlignment="1" applyProtection="1">
      <alignment horizontal="center" vertical="center"/>
      <protection locked="0"/>
    </xf>
    <xf numFmtId="178" fontId="11" fillId="3" borderId="17" xfId="1" applyNumberFormat="1" applyFont="1" applyFill="1" applyBorder="1" applyAlignment="1" applyProtection="1">
      <alignment horizontal="center" vertical="center"/>
      <protection locked="0"/>
    </xf>
    <xf numFmtId="178" fontId="11" fillId="3" borderId="19" xfId="1" applyNumberFormat="1" applyFont="1" applyFill="1" applyBorder="1" applyAlignment="1" applyProtection="1">
      <alignment horizontal="center" vertical="center"/>
      <protection locked="0"/>
    </xf>
    <xf numFmtId="173" fontId="15" fillId="3" borderId="5" xfId="1" applyNumberFormat="1" applyFont="1" applyFill="1" applyBorder="1" applyAlignment="1" applyProtection="1">
      <alignment horizontal="right" vertical="center"/>
      <protection locked="0"/>
    </xf>
    <xf numFmtId="0" fontId="8" fillId="2" borderId="1" xfId="1" applyFont="1" applyFill="1" applyBorder="1" applyAlignment="1" applyProtection="1">
      <alignment horizontal="right" vertical="center"/>
      <protection hidden="1"/>
    </xf>
    <xf numFmtId="0" fontId="8" fillId="2" borderId="2" xfId="1" applyFont="1" applyFill="1" applyBorder="1" applyAlignment="1" applyProtection="1">
      <alignment horizontal="right" vertical="center"/>
      <protection hidden="1"/>
    </xf>
    <xf numFmtId="0" fontId="8" fillId="2" borderId="3" xfId="1" applyFont="1" applyFill="1" applyBorder="1" applyAlignment="1" applyProtection="1">
      <alignment horizontal="right" vertical="center"/>
      <protection hidden="1"/>
    </xf>
    <xf numFmtId="0" fontId="8" fillId="2" borderId="4" xfId="1" applyFont="1" applyFill="1" applyBorder="1" applyAlignment="1" applyProtection="1">
      <alignment horizontal="right" vertical="center"/>
      <protection hidden="1"/>
    </xf>
    <xf numFmtId="0" fontId="8" fillId="2" borderId="5" xfId="1" applyFont="1" applyFill="1" applyBorder="1" applyAlignment="1" applyProtection="1">
      <alignment horizontal="right" vertical="center"/>
      <protection hidden="1"/>
    </xf>
    <xf numFmtId="0" fontId="8" fillId="2" borderId="6" xfId="1" applyFont="1" applyFill="1" applyBorder="1" applyAlignment="1" applyProtection="1">
      <alignment horizontal="right" vertical="center"/>
      <protection hidden="1"/>
    </xf>
    <xf numFmtId="0" fontId="8" fillId="2" borderId="7" xfId="1" applyFont="1" applyFill="1" applyBorder="1" applyAlignment="1" applyProtection="1">
      <alignment horizontal="right" vertical="center"/>
      <protection hidden="1"/>
    </xf>
    <xf numFmtId="0" fontId="8" fillId="2" borderId="0" xfId="1" applyFont="1" applyFill="1" applyBorder="1" applyAlignment="1" applyProtection="1">
      <alignment horizontal="right" vertical="center"/>
      <protection hidden="1"/>
    </xf>
    <xf numFmtId="0" fontId="8" fillId="2" borderId="8" xfId="1" applyFont="1" applyFill="1" applyBorder="1" applyAlignment="1" applyProtection="1">
      <alignment horizontal="right" vertical="center"/>
      <protection hidden="1"/>
    </xf>
    <xf numFmtId="165" fontId="11" fillId="3" borderId="17" xfId="1" applyNumberFormat="1" applyFont="1" applyFill="1" applyBorder="1" applyAlignment="1" applyProtection="1">
      <alignment horizontal="center" vertical="center"/>
      <protection locked="0"/>
    </xf>
    <xf numFmtId="165" fontId="11" fillId="3" borderId="19" xfId="1" applyNumberFormat="1" applyFont="1" applyFill="1" applyBorder="1" applyAlignment="1" applyProtection="1">
      <alignment horizontal="center" vertical="center"/>
      <protection locked="0"/>
    </xf>
    <xf numFmtId="177" fontId="8" fillId="0" borderId="13" xfId="1" applyNumberFormat="1" applyFont="1" applyFill="1" applyBorder="1" applyAlignment="1" applyProtection="1">
      <alignment horizontal="center" vertical="center"/>
      <protection hidden="1"/>
    </xf>
    <xf numFmtId="177" fontId="8" fillId="3" borderId="13" xfId="1" applyNumberFormat="1" applyFont="1" applyFill="1" applyBorder="1" applyAlignment="1" applyProtection="1">
      <alignment horizontal="center" vertical="center"/>
      <protection locked="0"/>
    </xf>
    <xf numFmtId="0" fontId="9" fillId="2" borderId="13" xfId="1" applyFont="1" applyFill="1" applyBorder="1" applyAlignment="1" applyProtection="1">
      <alignment horizontal="center" vertical="center" shrinkToFit="1"/>
      <protection hidden="1"/>
    </xf>
    <xf numFmtId="0" fontId="9" fillId="2" borderId="14" xfId="1" applyFont="1" applyFill="1" applyBorder="1" applyAlignment="1" applyProtection="1">
      <alignment horizontal="center" vertical="center" shrinkToFit="1"/>
      <protection hidden="1"/>
    </xf>
    <xf numFmtId="174" fontId="8" fillId="3" borderId="13" xfId="1" applyNumberFormat="1" applyFont="1" applyFill="1" applyBorder="1" applyAlignment="1" applyProtection="1">
      <alignment horizontal="center" vertical="center"/>
      <protection locked="0"/>
    </xf>
    <xf numFmtId="174" fontId="8" fillId="0" borderId="13" xfId="1" applyNumberFormat="1" applyFont="1" applyFill="1" applyBorder="1" applyAlignment="1" applyProtection="1">
      <alignment horizontal="center" vertical="center"/>
      <protection hidden="1"/>
    </xf>
    <xf numFmtId="173" fontId="8" fillId="3" borderId="13" xfId="1" applyNumberFormat="1" applyFont="1" applyFill="1" applyBorder="1" applyAlignment="1" applyProtection="1">
      <alignment horizontal="center" vertical="center"/>
      <protection locked="0"/>
    </xf>
    <xf numFmtId="168" fontId="2" fillId="0" borderId="4" xfId="1" applyNumberFormat="1" applyFont="1" applyBorder="1" applyAlignment="1" applyProtection="1">
      <alignment horizontal="center" vertical="center"/>
      <protection hidden="1"/>
    </xf>
    <xf numFmtId="168" fontId="2" fillId="0" borderId="5" xfId="1" applyNumberFormat="1" applyFont="1" applyBorder="1" applyAlignment="1" applyProtection="1">
      <alignment horizontal="center" vertical="center"/>
      <protection hidden="1"/>
    </xf>
    <xf numFmtId="168" fontId="2" fillId="0" borderId="6" xfId="1" applyNumberFormat="1" applyFont="1" applyBorder="1" applyAlignment="1" applyProtection="1">
      <alignment horizontal="center" vertical="center"/>
      <protection hidden="1"/>
    </xf>
    <xf numFmtId="169" fontId="2" fillId="0" borderId="4" xfId="1" applyNumberFormat="1" applyFont="1" applyFill="1" applyBorder="1" applyAlignment="1" applyProtection="1">
      <alignment horizontal="center" vertical="center"/>
      <protection hidden="1"/>
    </xf>
    <xf numFmtId="169" fontId="2" fillId="0" borderId="5" xfId="1" applyNumberFormat="1" applyFont="1" applyFill="1" applyBorder="1" applyAlignment="1" applyProtection="1">
      <alignment horizontal="center" vertical="center"/>
      <protection hidden="1"/>
    </xf>
    <xf numFmtId="169" fontId="2" fillId="0" borderId="6" xfId="1" applyNumberFormat="1" applyFont="1" applyFill="1" applyBorder="1" applyAlignment="1" applyProtection="1">
      <alignment horizontal="center" vertical="center"/>
      <protection hidden="1"/>
    </xf>
    <xf numFmtId="167" fontId="2" fillId="0" borderId="4" xfId="1" applyNumberFormat="1" applyFont="1" applyBorder="1" applyAlignment="1" applyProtection="1">
      <alignment horizontal="center" vertical="center"/>
      <protection hidden="1"/>
    </xf>
    <xf numFmtId="167" fontId="2" fillId="0" borderId="5" xfId="1" applyNumberFormat="1" applyFont="1" applyBorder="1" applyAlignment="1" applyProtection="1">
      <alignment horizontal="center" vertical="center"/>
      <protection hidden="1"/>
    </xf>
    <xf numFmtId="168" fontId="2" fillId="0" borderId="5" xfId="1" applyNumberFormat="1" applyFont="1" applyBorder="1" applyAlignment="1" applyProtection="1">
      <alignment vertical="center"/>
      <protection hidden="1"/>
    </xf>
    <xf numFmtId="168" fontId="2" fillId="0" borderId="6" xfId="1" applyNumberFormat="1" applyFont="1" applyBorder="1" applyAlignment="1" applyProtection="1">
      <alignment vertical="center"/>
      <protection hidden="1"/>
    </xf>
    <xf numFmtId="0" fontId="2" fillId="2" borderId="10" xfId="1" applyFont="1" applyFill="1" applyBorder="1" applyAlignment="1" applyProtection="1">
      <alignment horizontal="center" vertical="center"/>
      <protection hidden="1"/>
    </xf>
    <xf numFmtId="0" fontId="2" fillId="2" borderId="17" xfId="1" applyFont="1" applyFill="1" applyBorder="1" applyAlignment="1" applyProtection="1">
      <alignment horizontal="center" vertical="center"/>
      <protection hidden="1"/>
    </xf>
    <xf numFmtId="2" fontId="2" fillId="0" borderId="17" xfId="1" applyNumberFormat="1" applyFont="1" applyBorder="1" applyAlignment="1" applyProtection="1">
      <alignment horizontal="right" vertical="center"/>
      <protection hidden="1"/>
    </xf>
    <xf numFmtId="0" fontId="2" fillId="0" borderId="17" xfId="1" applyFont="1" applyBorder="1" applyAlignment="1" applyProtection="1">
      <alignment horizontal="center" vertical="center"/>
      <protection hidden="1"/>
    </xf>
    <xf numFmtId="0" fontId="2" fillId="2" borderId="11" xfId="1" applyFont="1" applyFill="1" applyBorder="1" applyAlignment="1" applyProtection="1">
      <alignment horizontal="center" vertical="center"/>
      <protection hidden="1"/>
    </xf>
    <xf numFmtId="0" fontId="2" fillId="2" borderId="18" xfId="1" applyFont="1" applyFill="1" applyBorder="1" applyAlignment="1" applyProtection="1">
      <alignment horizontal="center" vertical="center"/>
      <protection hidden="1"/>
    </xf>
    <xf numFmtId="0" fontId="2" fillId="0" borderId="18" xfId="1" applyFont="1" applyBorder="1" applyAlignment="1" applyProtection="1">
      <alignment horizontal="center" vertical="center"/>
      <protection hidden="1"/>
    </xf>
    <xf numFmtId="2" fontId="2" fillId="0" borderId="16" xfId="1" applyNumberFormat="1" applyFont="1" applyBorder="1" applyAlignment="1" applyProtection="1">
      <alignment horizontal="right" vertical="center"/>
      <protection hidden="1"/>
    </xf>
    <xf numFmtId="0" fontId="2" fillId="0" borderId="16" xfId="1" applyFont="1" applyBorder="1" applyAlignment="1" applyProtection="1">
      <alignment horizontal="center" vertical="center"/>
      <protection hidden="1"/>
    </xf>
    <xf numFmtId="0" fontId="2" fillId="2" borderId="9" xfId="1" applyFont="1" applyFill="1" applyBorder="1" applyAlignment="1" applyProtection="1">
      <alignment horizontal="center" vertical="center"/>
      <protection hidden="1"/>
    </xf>
    <xf numFmtId="0" fontId="2" fillId="2" borderId="16" xfId="1" applyFont="1" applyFill="1" applyBorder="1" applyAlignment="1" applyProtection="1">
      <alignment horizontal="center" vertical="center"/>
      <protection hidden="1"/>
    </xf>
    <xf numFmtId="0" fontId="2" fillId="0" borderId="17" xfId="1" applyFont="1" applyBorder="1" applyAlignment="1" applyProtection="1">
      <alignment horizontal="right" vertical="center"/>
      <protection hidden="1"/>
    </xf>
    <xf numFmtId="168" fontId="2" fillId="0" borderId="17" xfId="1" applyNumberFormat="1" applyFont="1" applyBorder="1" applyAlignment="1" applyProtection="1">
      <alignment horizontal="right" vertical="center"/>
      <protection hidden="1"/>
    </xf>
    <xf numFmtId="0" fontId="2" fillId="0" borderId="18" xfId="1" applyFont="1" applyBorder="1" applyAlignment="1" applyProtection="1">
      <alignment horizontal="right" vertical="center"/>
      <protection hidden="1"/>
    </xf>
    <xf numFmtId="168" fontId="2" fillId="0" borderId="18" xfId="1" applyNumberFormat="1" applyFont="1" applyBorder="1" applyAlignment="1" applyProtection="1">
      <alignment horizontal="right" vertical="center"/>
      <protection hidden="1"/>
    </xf>
    <xf numFmtId="0" fontId="2" fillId="0" borderId="16" xfId="1" applyFont="1" applyBorder="1" applyAlignment="1" applyProtection="1">
      <alignment horizontal="right" vertical="center"/>
      <protection hidden="1"/>
    </xf>
    <xf numFmtId="168" fontId="2" fillId="0" borderId="16" xfId="1" applyNumberFormat="1" applyFont="1" applyBorder="1" applyAlignment="1" applyProtection="1">
      <alignment horizontal="right" vertical="center"/>
      <protection hidden="1"/>
    </xf>
    <xf numFmtId="0" fontId="2" fillId="0" borderId="7" xfId="1" applyFont="1" applyBorder="1" applyAlignment="1" applyProtection="1">
      <alignment horizontal="center" vertical="center"/>
      <protection hidden="1"/>
    </xf>
    <xf numFmtId="0" fontId="2" fillId="0" borderId="0" xfId="1" applyFont="1" applyBorder="1" applyAlignment="1" applyProtection="1">
      <alignment horizontal="center" vertical="center"/>
      <protection hidden="1"/>
    </xf>
    <xf numFmtId="0" fontId="2" fillId="0" borderId="8" xfId="1" applyFont="1" applyBorder="1" applyAlignment="1" applyProtection="1">
      <alignment horizontal="center" vertical="center"/>
      <protection hidden="1"/>
    </xf>
    <xf numFmtId="0" fontId="2" fillId="0" borderId="1" xfId="1" applyFont="1" applyBorder="1" applyAlignment="1" applyProtection="1">
      <alignment horizontal="center" vertical="center"/>
      <protection hidden="1"/>
    </xf>
    <xf numFmtId="0" fontId="2" fillId="0" borderId="2" xfId="1" applyFont="1" applyBorder="1" applyAlignment="1" applyProtection="1">
      <alignment horizontal="center" vertical="center"/>
      <protection hidden="1"/>
    </xf>
    <xf numFmtId="0" fontId="2" fillId="0" borderId="3" xfId="1" applyFont="1" applyBorder="1" applyAlignment="1" applyProtection="1">
      <alignment horizontal="center" vertical="center"/>
      <protection hidden="1"/>
    </xf>
    <xf numFmtId="169" fontId="2" fillId="0" borderId="1" xfId="1" applyNumberFormat="1" applyFont="1" applyFill="1" applyBorder="1" applyAlignment="1" applyProtection="1">
      <alignment horizontal="center" vertical="center"/>
      <protection hidden="1"/>
    </xf>
    <xf numFmtId="169" fontId="2" fillId="0" borderId="2" xfId="1" applyNumberFormat="1" applyFont="1" applyFill="1" applyBorder="1" applyAlignment="1" applyProtection="1">
      <alignment horizontal="center" vertical="center"/>
      <protection hidden="1"/>
    </xf>
    <xf numFmtId="169" fontId="2" fillId="0" borderId="3" xfId="1" applyNumberFormat="1" applyFont="1" applyFill="1" applyBorder="1" applyAlignment="1" applyProtection="1">
      <alignment horizontal="center" vertical="center"/>
      <protection hidden="1"/>
    </xf>
    <xf numFmtId="168" fontId="2" fillId="0" borderId="0" xfId="1" applyNumberFormat="1" applyFont="1" applyBorder="1" applyAlignment="1" applyProtection="1">
      <alignment vertical="center"/>
      <protection hidden="1"/>
    </xf>
    <xf numFmtId="166" fontId="6" fillId="0" borderId="10" xfId="1" applyNumberFormat="1" applyFont="1" applyBorder="1" applyAlignment="1" applyProtection="1">
      <alignment horizontal="right" vertical="center"/>
      <protection hidden="1"/>
    </xf>
    <xf numFmtId="166" fontId="6" fillId="0" borderId="17" xfId="1" applyNumberFormat="1" applyFont="1" applyBorder="1" applyAlignment="1" applyProtection="1">
      <alignment horizontal="right" vertical="center"/>
      <protection hidden="1"/>
    </xf>
    <xf numFmtId="175" fontId="6" fillId="0" borderId="17" xfId="1" applyNumberFormat="1" applyFont="1" applyBorder="1" applyAlignment="1" applyProtection="1">
      <alignment horizontal="left" vertical="center"/>
      <protection hidden="1"/>
    </xf>
    <xf numFmtId="175" fontId="6" fillId="0" borderId="21" xfId="1" applyNumberFormat="1" applyFont="1" applyBorder="1" applyAlignment="1" applyProtection="1">
      <alignment horizontal="left" vertical="center"/>
      <protection hidden="1"/>
    </xf>
  </cellXfs>
  <cellStyles count="2">
    <cellStyle name="Normal" xfId="0" builtinId="0"/>
    <cellStyle name="Обычный 2" xfId="1"/>
  </cellStyles>
  <dxfs count="6">
    <dxf>
      <font>
        <b/>
        <i val="0"/>
        <color indexed="13"/>
      </font>
      <fill>
        <patternFill>
          <fgColor indexed="10"/>
          <bgColor indexed="10"/>
        </patternFill>
      </fill>
    </dxf>
    <dxf>
      <font>
        <b/>
        <i val="0"/>
        <color indexed="10"/>
      </font>
    </dxf>
    <dxf>
      <font>
        <b/>
        <i/>
        <color indexed="10"/>
      </font>
    </dxf>
    <dxf>
      <font>
        <b/>
        <i/>
        <color indexed="10"/>
      </font>
    </dxf>
    <dxf>
      <fill>
        <patternFill>
          <fgColor indexed="10"/>
          <bgColor indexed="22"/>
        </patternFill>
      </fill>
    </dxf>
    <dxf>
      <font>
        <b val="0"/>
        <i val="0"/>
        <color indexed="22"/>
      </font>
      <fill>
        <patternFill>
          <fgColor indexed="10"/>
          <bgColor indexed="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2485FF"/>
      <rgbColor rgb="003EDB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ubbleChart>
        <c:varyColors val="0"/>
        <c:ser>
          <c:idx val="0"/>
          <c:order val="0"/>
          <c:tx>
            <c:strRef>
              <c:f>'TABLE (observations)'!$AL$8</c:f>
              <c:strCache>
                <c:ptCount val="1"/>
                <c:pt idx="0">
                  <c:v>Moon</c:v>
                </c:pt>
              </c:strCache>
            </c:strRef>
          </c:tx>
          <c:spPr>
            <a:gradFill rotWithShape="0">
              <a:gsLst>
                <a:gs pos="0">
                  <a:srgbClr val="CCFFFF"/>
                </a:gs>
                <a:gs pos="100000">
                  <a:srgbClr val="5E7676"/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(observations)'!$AM$8</c:f>
              <c:numCache>
                <c:formatCode>General</c:formatCode>
                <c:ptCount val="1"/>
                <c:pt idx="0">
                  <c:v>126.70798311160215</c:v>
                </c:pt>
              </c:numCache>
            </c:numRef>
          </c:xVal>
          <c:yVal>
            <c:numRef>
              <c:f>'TABLE (observations)'!$AN$8</c:f>
              <c:numCache>
                <c:formatCode>General</c:formatCode>
                <c:ptCount val="1"/>
                <c:pt idx="0">
                  <c:v>38.137365759120101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10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00-9DD5-4268-BCCD-CFFE3C38E080}"/>
            </c:ext>
          </c:extLst>
        </c:ser>
        <c:ser>
          <c:idx val="1"/>
          <c:order val="1"/>
          <c:tx>
            <c:strRef>
              <c:f>'TABLE (observations)'!$AL$7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xVal>
            <c:numRef>
              <c:f>'TABLE (observations)'!$AM$7</c:f>
              <c:numCache>
                <c:formatCode>General</c:formatCode>
                <c:ptCount val="1"/>
                <c:pt idx="0">
                  <c:v>10.507023782911681</c:v>
                </c:pt>
              </c:numCache>
            </c:numRef>
          </c:xVal>
          <c:yVal>
            <c:numRef>
              <c:f>'TABLE (observations)'!$AN$7</c:f>
              <c:numCache>
                <c:formatCode>General</c:formatCode>
                <c:ptCount val="1"/>
                <c:pt idx="0">
                  <c:v>-26.585887845034229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20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9DD5-4268-BCCD-CFFE3C38E080}"/>
            </c:ext>
          </c:extLst>
        </c:ser>
        <c:ser>
          <c:idx val="2"/>
          <c:order val="2"/>
          <c:tx>
            <c:strRef>
              <c:f>'TABLE (observations)'!$AL$9</c:f>
              <c:strCache>
                <c:ptCount val="1"/>
                <c:pt idx="0">
                  <c:v>Acamar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'TABLE (observations)'!$AM$9</c:f>
              <c:numCache>
                <c:formatCode>General</c:formatCode>
                <c:ptCount val="1"/>
                <c:pt idx="0">
                  <c:v>140.86588318534112</c:v>
                </c:pt>
              </c:numCache>
            </c:numRef>
          </c:xVal>
          <c:yVal>
            <c:numRef>
              <c:f>'TABLE (observations)'!$AN$9</c:f>
              <c:numCache>
                <c:formatCode>General</c:formatCode>
                <c:ptCount val="1"/>
                <c:pt idx="0">
                  <c:v>-15.726964781028991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9DD5-4268-BCCD-CFFE3C38E080}"/>
            </c:ext>
          </c:extLst>
        </c:ser>
        <c:ser>
          <c:idx val="3"/>
          <c:order val="3"/>
          <c:tx>
            <c:strRef>
              <c:f>'TABLE (observations)'!$AL$10</c:f>
              <c:strCache>
                <c:ptCount val="1"/>
                <c:pt idx="0">
                  <c:v>Achernar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'TABLE (observations)'!$AM$10</c:f>
              <c:numCache>
                <c:formatCode>General</c:formatCode>
                <c:ptCount val="1"/>
                <c:pt idx="0">
                  <c:v>161.07030674683355</c:v>
                </c:pt>
              </c:numCache>
            </c:numRef>
          </c:xVal>
          <c:yVal>
            <c:numRef>
              <c:f>'TABLE (observations)'!$AN$10</c:f>
              <c:numCache>
                <c:formatCode>General</c:formatCode>
                <c:ptCount val="1"/>
                <c:pt idx="0">
                  <c:v>-25.73112393139743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3-9DD5-4268-BCCD-CFFE3C38E080}"/>
            </c:ext>
          </c:extLst>
        </c:ser>
        <c:ser>
          <c:idx val="4"/>
          <c:order val="4"/>
          <c:tx>
            <c:strRef>
              <c:f>'TABLE (observations)'!$AL$11</c:f>
              <c:strCache>
                <c:ptCount val="1"/>
                <c:pt idx="0">
                  <c:v>Acrux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'TABLE (observations)'!$AM$11</c:f>
              <c:numCache>
                <c:formatCode>General</c:formatCode>
                <c:ptCount val="1"/>
                <c:pt idx="0">
                  <c:v>218.27409323746971</c:v>
                </c:pt>
              </c:numCache>
            </c:numRef>
          </c:xVal>
          <c:yVal>
            <c:numRef>
              <c:f>'TABLE (observations)'!$AN$11</c:f>
              <c:numCache>
                <c:formatCode>General</c:formatCode>
                <c:ptCount val="1"/>
                <c:pt idx="0">
                  <c:v>-79.332741711059541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4-9DD5-4268-BCCD-CFFE3C38E080}"/>
            </c:ext>
          </c:extLst>
        </c:ser>
        <c:ser>
          <c:idx val="5"/>
          <c:order val="5"/>
          <c:tx>
            <c:strRef>
              <c:f>'TABLE (observations)'!$AL$12</c:f>
              <c:strCache>
                <c:ptCount val="1"/>
                <c:pt idx="0">
                  <c:v>Adhara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'TABLE (observations)'!$AM$12</c:f>
              <c:numCache>
                <c:formatCode>General</c:formatCode>
                <c:ptCount val="1"/>
                <c:pt idx="0">
                  <c:v>89.613667126029938</c:v>
                </c:pt>
              </c:numCache>
            </c:numRef>
          </c:xVal>
          <c:yVal>
            <c:numRef>
              <c:f>'TABLE (observations)'!$AN$12</c:f>
              <c:numCache>
                <c:formatCode>General</c:formatCode>
                <c:ptCount val="1"/>
                <c:pt idx="0">
                  <c:v>-36.270494674115554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5-9DD5-4268-BCCD-CFFE3C38E080}"/>
            </c:ext>
          </c:extLst>
        </c:ser>
        <c:ser>
          <c:idx val="6"/>
          <c:order val="6"/>
          <c:tx>
            <c:strRef>
              <c:f>'TABLE (observations)'!$AL$13</c:f>
              <c:strCache>
                <c:ptCount val="1"/>
                <c:pt idx="0">
                  <c:v>Aldebaran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(observations)'!$AM$13</c:f>
              <c:numCache>
                <c:formatCode>General</c:formatCode>
                <c:ptCount val="1"/>
                <c:pt idx="0">
                  <c:v>90.91478844785847</c:v>
                </c:pt>
              </c:numCache>
            </c:numRef>
          </c:xVal>
          <c:yVal>
            <c:numRef>
              <c:f>'TABLE (observations)'!$AN$13</c:f>
              <c:numCache>
                <c:formatCode>General</c:formatCode>
                <c:ptCount val="1"/>
                <c:pt idx="0">
                  <c:v>20.834243901650417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6-9DD5-4268-BCCD-CFFE3C38E080}"/>
            </c:ext>
          </c:extLst>
        </c:ser>
        <c:ser>
          <c:idx val="7"/>
          <c:order val="7"/>
          <c:tx>
            <c:strRef>
              <c:f>'TABLE (observations)'!$AL$14</c:f>
              <c:strCache>
                <c:ptCount val="1"/>
                <c:pt idx="0">
                  <c:v>Alioth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(observations)'!$AM$14</c:f>
              <c:numCache>
                <c:formatCode>General</c:formatCode>
                <c:ptCount val="1"/>
                <c:pt idx="0">
                  <c:v>346.98570147803338</c:v>
                </c:pt>
              </c:numCache>
            </c:numRef>
          </c:xVal>
          <c:yVal>
            <c:numRef>
              <c:f>'TABLE (observations)'!$AN$14</c:f>
              <c:numCache>
                <c:formatCode>General</c:formatCode>
                <c:ptCount val="1"/>
                <c:pt idx="0">
                  <c:v>22.794010502208646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7-9DD5-4268-BCCD-CFFE3C38E080}"/>
            </c:ext>
          </c:extLst>
        </c:ser>
        <c:ser>
          <c:idx val="8"/>
          <c:order val="8"/>
          <c:tx>
            <c:strRef>
              <c:f>'TABLE (observations)'!$AL$15</c:f>
              <c:strCache>
                <c:ptCount val="1"/>
                <c:pt idx="0">
                  <c:v>Alkaid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(observations)'!$AM$15</c:f>
              <c:numCache>
                <c:formatCode>General</c:formatCode>
                <c:ptCount val="1"/>
                <c:pt idx="0">
                  <c:v>336.63741553136248</c:v>
                </c:pt>
              </c:numCache>
            </c:numRef>
          </c:xVal>
          <c:yVal>
            <c:numRef>
              <c:f>'TABLE (observations)'!$AN$15</c:f>
              <c:numCache>
                <c:formatCode>General</c:formatCode>
                <c:ptCount val="1"/>
                <c:pt idx="0">
                  <c:v>18.782349956068494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9DD5-4268-BCCD-CFFE3C38E080}"/>
            </c:ext>
          </c:extLst>
        </c:ser>
        <c:ser>
          <c:idx val="9"/>
          <c:order val="9"/>
          <c:tx>
            <c:strRef>
              <c:f>'TABLE (observations)'!$AL$16</c:f>
              <c:strCache>
                <c:ptCount val="1"/>
                <c:pt idx="0">
                  <c:v>Al Na'ir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'TABLE (observations)'!$AM$16</c:f>
              <c:numCache>
                <c:formatCode>General</c:formatCode>
                <c:ptCount val="1"/>
                <c:pt idx="0">
                  <c:v>193.83793780048987</c:v>
                </c:pt>
              </c:numCache>
            </c:numRef>
          </c:xVal>
          <c:yVal>
            <c:numRef>
              <c:f>'TABLE (observations)'!$AN$16</c:f>
              <c:numCache>
                <c:formatCode>General</c:formatCode>
                <c:ptCount val="1"/>
                <c:pt idx="0">
                  <c:v>-13.775853867696313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9-9DD5-4268-BCCD-CFFE3C38E080}"/>
            </c:ext>
          </c:extLst>
        </c:ser>
        <c:ser>
          <c:idx val="10"/>
          <c:order val="10"/>
          <c:tx>
            <c:strRef>
              <c:f>'TABLE (observations)'!$AL$17</c:f>
              <c:strCache>
                <c:ptCount val="1"/>
                <c:pt idx="0">
                  <c:v>Alnilam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'TABLE (observations)'!$AM$17</c:f>
              <c:numCache>
                <c:formatCode>General</c:formatCode>
                <c:ptCount val="1"/>
                <c:pt idx="0">
                  <c:v>88.849585015445555</c:v>
                </c:pt>
              </c:numCache>
            </c:numRef>
          </c:xVal>
          <c:yVal>
            <c:numRef>
              <c:f>'TABLE (observations)'!$AN$17</c:f>
              <c:numCache>
                <c:formatCode>General</c:formatCode>
                <c:ptCount val="1"/>
                <c:pt idx="0">
                  <c:v>-2.2207718223862924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A-9DD5-4268-BCCD-CFFE3C38E080}"/>
            </c:ext>
          </c:extLst>
        </c:ser>
        <c:ser>
          <c:idx val="11"/>
          <c:order val="11"/>
          <c:tx>
            <c:strRef>
              <c:f>'TABLE (observations)'!$AL$18</c:f>
              <c:strCache>
                <c:ptCount val="1"/>
                <c:pt idx="0">
                  <c:v>Alphard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'TABLE (observations)'!$AM$18</c:f>
              <c:numCache>
                <c:formatCode>General</c:formatCode>
                <c:ptCount val="1"/>
                <c:pt idx="0">
                  <c:v>38.50674726622124</c:v>
                </c:pt>
              </c:numCache>
            </c:numRef>
          </c:xVal>
          <c:yVal>
            <c:numRef>
              <c:f>'TABLE (observations)'!$AN$18</c:f>
              <c:numCache>
                <c:formatCode>General</c:formatCode>
                <c:ptCount val="1"/>
                <c:pt idx="0">
                  <c:v>-37.571866008263733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B-9DD5-4268-BCCD-CFFE3C38E080}"/>
            </c:ext>
          </c:extLst>
        </c:ser>
        <c:ser>
          <c:idx val="12"/>
          <c:order val="12"/>
          <c:tx>
            <c:strRef>
              <c:f>'TABLE (observations)'!$AL$19</c:f>
              <c:strCache>
                <c:ptCount val="1"/>
                <c:pt idx="0">
                  <c:v>Alphecca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(observations)'!$AM$19</c:f>
              <c:numCache>
                <c:formatCode>General</c:formatCode>
                <c:ptCount val="1"/>
                <c:pt idx="0">
                  <c:v>307.35612400172761</c:v>
                </c:pt>
              </c:numCache>
            </c:numRef>
          </c:xVal>
          <c:yVal>
            <c:numRef>
              <c:f>'TABLE (observations)'!$AN$19</c:f>
              <c:numCache>
                <c:formatCode>General</c:formatCode>
                <c:ptCount val="1"/>
                <c:pt idx="0">
                  <c:v>7.5430901261690977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C-9DD5-4268-BCCD-CFFE3C38E080}"/>
            </c:ext>
          </c:extLst>
        </c:ser>
        <c:ser>
          <c:idx val="13"/>
          <c:order val="13"/>
          <c:tx>
            <c:strRef>
              <c:f>'TABLE (observations)'!$AL$20</c:f>
              <c:strCache>
                <c:ptCount val="1"/>
                <c:pt idx="0">
                  <c:v>Alpheratz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(observations)'!$AM$20</c:f>
              <c:numCache>
                <c:formatCode>General</c:formatCode>
                <c:ptCount val="1"/>
                <c:pt idx="0">
                  <c:v>160.25834525356049</c:v>
                </c:pt>
              </c:numCache>
            </c:numRef>
          </c:xVal>
          <c:yVal>
            <c:numRef>
              <c:f>'TABLE (observations)'!$AN$20</c:f>
              <c:numCache>
                <c:formatCode>General</c:formatCode>
                <c:ptCount val="1"/>
                <c:pt idx="0">
                  <c:v>62.651028891195381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D-9DD5-4268-BCCD-CFFE3C38E080}"/>
            </c:ext>
          </c:extLst>
        </c:ser>
        <c:ser>
          <c:idx val="14"/>
          <c:order val="14"/>
          <c:tx>
            <c:strRef>
              <c:f>'TABLE (observations)'!$AL$21</c:f>
              <c:strCache>
                <c:ptCount val="1"/>
                <c:pt idx="0">
                  <c:v>Altair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(observations)'!$AM$21</c:f>
              <c:numCache>
                <c:formatCode>General</c:formatCode>
                <c:ptCount val="1"/>
                <c:pt idx="0">
                  <c:v>244.06462459099367</c:v>
                </c:pt>
              </c:numCache>
            </c:numRef>
          </c:xVal>
          <c:yVal>
            <c:numRef>
              <c:f>'TABLE (observations)'!$AN$21</c:f>
              <c:numCache>
                <c:formatCode>General</c:formatCode>
                <c:ptCount val="1"/>
                <c:pt idx="0">
                  <c:v>27.070343611495765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E-9DD5-4268-BCCD-CFFE3C38E080}"/>
            </c:ext>
          </c:extLst>
        </c:ser>
        <c:ser>
          <c:idx val="15"/>
          <c:order val="15"/>
          <c:tx>
            <c:strRef>
              <c:f>'TABLE (observations)'!$AL$22</c:f>
              <c:strCache>
                <c:ptCount val="1"/>
                <c:pt idx="0">
                  <c:v>Ankaa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(observations)'!$AM$22</c:f>
              <c:numCache>
                <c:formatCode>General</c:formatCode>
                <c:ptCount val="1"/>
                <c:pt idx="0">
                  <c:v>169.02612052589981</c:v>
                </c:pt>
              </c:numCache>
            </c:numRef>
          </c:xVal>
          <c:yVal>
            <c:numRef>
              <c:f>'TABLE (observations)'!$AN$22</c:f>
              <c:numCache>
                <c:formatCode>General</c:formatCode>
                <c:ptCount val="1"/>
                <c:pt idx="0">
                  <c:v>-8.5511816492062795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F-9DD5-4268-BCCD-CFFE3C38E080}"/>
            </c:ext>
          </c:extLst>
        </c:ser>
        <c:ser>
          <c:idx val="16"/>
          <c:order val="16"/>
          <c:tx>
            <c:strRef>
              <c:f>'TABLE (observations)'!$AL$23</c:f>
              <c:strCache>
                <c:ptCount val="1"/>
                <c:pt idx="0">
                  <c:v>Antares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(observations)'!$AM$23</c:f>
              <c:numCache>
                <c:formatCode>General</c:formatCode>
                <c:ptCount val="1"/>
                <c:pt idx="0">
                  <c:v>265.58769933079054</c:v>
                </c:pt>
              </c:numCache>
            </c:numRef>
          </c:xVal>
          <c:yVal>
            <c:numRef>
              <c:f>'TABLE (observations)'!$AN$23</c:f>
              <c:numCache>
                <c:formatCode>General</c:formatCode>
                <c:ptCount val="1"/>
                <c:pt idx="0">
                  <c:v>-29.650912451506301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10-9DD5-4268-BCCD-CFFE3C38E080}"/>
            </c:ext>
          </c:extLst>
        </c:ser>
        <c:ser>
          <c:idx val="17"/>
          <c:order val="17"/>
          <c:tx>
            <c:strRef>
              <c:f>'TABLE (observations)'!$AL$24</c:f>
              <c:strCache>
                <c:ptCount val="1"/>
                <c:pt idx="0">
                  <c:v>Arcturus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(observations)'!$AM$24</c:f>
              <c:numCache>
                <c:formatCode>General</c:formatCode>
                <c:ptCount val="1"/>
                <c:pt idx="0">
                  <c:v>320.32168115809128</c:v>
                </c:pt>
              </c:numCache>
            </c:numRef>
          </c:xVal>
          <c:yVal>
            <c:numRef>
              <c:f>'TABLE (observations)'!$AN$24</c:f>
              <c:numCache>
                <c:formatCode>General</c:formatCode>
                <c:ptCount val="1"/>
                <c:pt idx="0">
                  <c:v>-7.2946157936569822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11-9DD5-4268-BCCD-CFFE3C38E080}"/>
            </c:ext>
          </c:extLst>
        </c:ser>
        <c:ser>
          <c:idx val="18"/>
          <c:order val="18"/>
          <c:tx>
            <c:strRef>
              <c:f>'TABLE (observations)'!$AL$25</c:f>
              <c:strCache>
                <c:ptCount val="1"/>
                <c:pt idx="0">
                  <c:v>Atria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'TABLE (observations)'!$AM$25</c:f>
              <c:numCache>
                <c:formatCode>General</c:formatCode>
                <c:ptCount val="1"/>
                <c:pt idx="0">
                  <c:v>216.38603449106918</c:v>
                </c:pt>
              </c:numCache>
            </c:numRef>
          </c:xVal>
          <c:yVal>
            <c:numRef>
              <c:f>'TABLE (observations)'!$AN$25</c:f>
              <c:numCache>
                <c:formatCode>General</c:formatCode>
                <c:ptCount val="1"/>
                <c:pt idx="0">
                  <c:v>-53.589377699139085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12-9DD5-4268-BCCD-CFFE3C38E080}"/>
            </c:ext>
          </c:extLst>
        </c:ser>
        <c:ser>
          <c:idx val="19"/>
          <c:order val="19"/>
          <c:tx>
            <c:strRef>
              <c:f>'TABLE (observations)'!$AL$26</c:f>
              <c:strCache>
                <c:ptCount val="1"/>
                <c:pt idx="0">
                  <c:v>Avior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'TABLE (observations)'!$AM$26</c:f>
              <c:numCache>
                <c:formatCode>General</c:formatCode>
                <c:ptCount val="1"/>
                <c:pt idx="0">
                  <c:v>118.5234282431702</c:v>
                </c:pt>
              </c:numCache>
            </c:numRef>
          </c:xVal>
          <c:yVal>
            <c:numRef>
              <c:f>'TABLE (observations)'!$AN$26</c:f>
              <c:numCache>
                <c:formatCode>General</c:formatCode>
                <c:ptCount val="1"/>
                <c:pt idx="0">
                  <c:v>-65.405512518216767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13-9DD5-4268-BCCD-CFFE3C38E080}"/>
            </c:ext>
          </c:extLst>
        </c:ser>
        <c:ser>
          <c:idx val="20"/>
          <c:order val="20"/>
          <c:tx>
            <c:strRef>
              <c:f>'TABLE (observations)'!$AL$27</c:f>
              <c:strCache>
                <c:ptCount val="1"/>
                <c:pt idx="0">
                  <c:v>Bellatrix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(observations)'!$AM$27</c:f>
              <c:numCache>
                <c:formatCode>General</c:formatCode>
                <c:ptCount val="1"/>
                <c:pt idx="0">
                  <c:v>86.853588697916194</c:v>
                </c:pt>
              </c:numCache>
            </c:numRef>
          </c:xVal>
          <c:yVal>
            <c:numRef>
              <c:f>'TABLE (observations)'!$AN$27</c:f>
              <c:numCache>
                <c:formatCode>General</c:formatCode>
                <c:ptCount val="1"/>
                <c:pt idx="0">
                  <c:v>5.5677751537890847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14-9DD5-4268-BCCD-CFFE3C38E080}"/>
            </c:ext>
          </c:extLst>
        </c:ser>
        <c:ser>
          <c:idx val="21"/>
          <c:order val="21"/>
          <c:tx>
            <c:strRef>
              <c:f>'TABLE (observations)'!$AL$28</c:f>
              <c:strCache>
                <c:ptCount val="1"/>
                <c:pt idx="0">
                  <c:v>Betelgeuse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(observations)'!$AM$28</c:f>
              <c:numCache>
                <c:formatCode>General</c:formatCode>
                <c:ptCount val="1"/>
                <c:pt idx="0">
                  <c:v>80.0975037742853</c:v>
                </c:pt>
              </c:numCache>
            </c:numRef>
          </c:xVal>
          <c:yVal>
            <c:numRef>
              <c:f>'TABLE (observations)'!$AN$28</c:f>
              <c:numCache>
                <c:formatCode>General</c:formatCode>
                <c:ptCount val="1"/>
                <c:pt idx="0">
                  <c:v>2.2077755316511092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15-9DD5-4268-BCCD-CFFE3C38E080}"/>
            </c:ext>
          </c:extLst>
        </c:ser>
        <c:ser>
          <c:idx val="22"/>
          <c:order val="22"/>
          <c:tx>
            <c:strRef>
              <c:f>'TABLE (observations)'!$AL$29</c:f>
              <c:strCache>
                <c:ptCount val="1"/>
                <c:pt idx="0">
                  <c:v>Canopus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'TABLE (observations)'!$AM$29</c:f>
              <c:numCache>
                <c:formatCode>General</c:formatCode>
                <c:ptCount val="1"/>
                <c:pt idx="0">
                  <c:v>119.16244718785795</c:v>
                </c:pt>
              </c:numCache>
            </c:numRef>
          </c:xVal>
          <c:yVal>
            <c:numRef>
              <c:f>'TABLE (observations)'!$AN$29</c:f>
              <c:numCache>
                <c:formatCode>General</c:formatCode>
                <c:ptCount val="1"/>
                <c:pt idx="0">
                  <c:v>-47.71763719395819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16-9DD5-4268-BCCD-CFFE3C38E080}"/>
            </c:ext>
          </c:extLst>
        </c:ser>
        <c:ser>
          <c:idx val="23"/>
          <c:order val="23"/>
          <c:tx>
            <c:strRef>
              <c:f>'TABLE (observations)'!$AL$30</c:f>
              <c:strCache>
                <c:ptCount val="1"/>
                <c:pt idx="0">
                  <c:v>Capella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(observations)'!$AM$30</c:f>
              <c:numCache>
                <c:formatCode>General</c:formatCode>
                <c:ptCount val="1"/>
                <c:pt idx="0">
                  <c:v>61.268081822403339</c:v>
                </c:pt>
              </c:numCache>
            </c:numRef>
          </c:xVal>
          <c:yVal>
            <c:numRef>
              <c:f>'TABLE (observations)'!$AN$30</c:f>
              <c:numCache>
                <c:formatCode>General</c:formatCode>
                <c:ptCount val="1"/>
                <c:pt idx="0">
                  <c:v>37.719471655334367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17-9DD5-4268-BCCD-CFFE3C38E080}"/>
            </c:ext>
          </c:extLst>
        </c:ser>
        <c:ser>
          <c:idx val="24"/>
          <c:order val="24"/>
          <c:tx>
            <c:strRef>
              <c:f>'TABLE (observations)'!$AL$31</c:f>
              <c:strCache>
                <c:ptCount val="1"/>
                <c:pt idx="0">
                  <c:v>Deneb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(observations)'!$AM$31</c:f>
              <c:numCache>
                <c:formatCode>General</c:formatCode>
                <c:ptCount val="1"/>
                <c:pt idx="0">
                  <c:v>266.05972706713806</c:v>
                </c:pt>
              </c:numCache>
            </c:numRef>
          </c:xVal>
          <c:yVal>
            <c:numRef>
              <c:f>'TABLE (observations)'!$AN$31</c:f>
              <c:numCache>
                <c:formatCode>General</c:formatCode>
                <c:ptCount val="1"/>
                <c:pt idx="0">
                  <c:v>62.210613558199995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18-9DD5-4268-BCCD-CFFE3C38E080}"/>
            </c:ext>
          </c:extLst>
        </c:ser>
        <c:ser>
          <c:idx val="25"/>
          <c:order val="25"/>
          <c:tx>
            <c:strRef>
              <c:f>'TABLE (observations)'!$AL$32</c:f>
              <c:strCache>
                <c:ptCount val="1"/>
                <c:pt idx="0">
                  <c:v>Denebola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(observations)'!$AM$32</c:f>
              <c:numCache>
                <c:formatCode>General</c:formatCode>
                <c:ptCount val="1"/>
                <c:pt idx="0">
                  <c:v>354.41823975322313</c:v>
                </c:pt>
              </c:numCache>
            </c:numRef>
          </c:xVal>
          <c:yVal>
            <c:numRef>
              <c:f>'TABLE (observations)'!$AN$32</c:f>
              <c:numCache>
                <c:formatCode>General</c:formatCode>
                <c:ptCount val="1"/>
                <c:pt idx="0">
                  <c:v>-19.835892211879923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19-9DD5-4268-BCCD-CFFE3C38E080}"/>
            </c:ext>
          </c:extLst>
        </c:ser>
        <c:ser>
          <c:idx val="26"/>
          <c:order val="26"/>
          <c:tx>
            <c:strRef>
              <c:f>'TABLE (observations)'!$AL$33</c:f>
              <c:strCache>
                <c:ptCount val="1"/>
                <c:pt idx="0">
                  <c:v>Diphda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(observations)'!$AM$33</c:f>
              <c:numCache>
                <c:formatCode>General</c:formatCode>
                <c:ptCount val="1"/>
                <c:pt idx="0">
                  <c:v>161.26426262886486</c:v>
                </c:pt>
              </c:numCache>
            </c:numRef>
          </c:xVal>
          <c:yVal>
            <c:numRef>
              <c:f>'TABLE (observations)'!$AN$33</c:f>
              <c:numCache>
                <c:formatCode>General</c:formatCode>
                <c:ptCount val="1"/>
                <c:pt idx="0">
                  <c:v>14.812107974541842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1A-9DD5-4268-BCCD-CFFE3C38E080}"/>
            </c:ext>
          </c:extLst>
        </c:ser>
        <c:ser>
          <c:idx val="27"/>
          <c:order val="27"/>
          <c:tx>
            <c:strRef>
              <c:f>'TABLE (observations)'!$AL$34</c:f>
              <c:strCache>
                <c:ptCount val="1"/>
                <c:pt idx="0">
                  <c:v>Dubhe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(observations)'!$AM$34</c:f>
              <c:numCache>
                <c:formatCode>General</c:formatCode>
                <c:ptCount val="1"/>
                <c:pt idx="0">
                  <c:v>3.1373184117020676</c:v>
                </c:pt>
              </c:numCache>
            </c:numRef>
          </c:xVal>
          <c:yVal>
            <c:numRef>
              <c:f>'TABLE (observations)'!$AN$34</c:f>
              <c:numCache>
                <c:formatCode>General</c:formatCode>
                <c:ptCount val="1"/>
                <c:pt idx="0">
                  <c:v>27.284539546094354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1B-9DD5-4268-BCCD-CFFE3C38E080}"/>
            </c:ext>
          </c:extLst>
        </c:ser>
        <c:ser>
          <c:idx val="28"/>
          <c:order val="28"/>
          <c:tx>
            <c:strRef>
              <c:f>'TABLE (observations)'!$AL$35</c:f>
              <c:strCache>
                <c:ptCount val="1"/>
                <c:pt idx="0">
                  <c:v>Elnath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(observations)'!$AM$35</c:f>
              <c:numCache>
                <c:formatCode>General</c:formatCode>
                <c:ptCount val="1"/>
                <c:pt idx="0">
                  <c:v>73.052208186957159</c:v>
                </c:pt>
              </c:numCache>
            </c:numRef>
          </c:xVal>
          <c:yVal>
            <c:numRef>
              <c:f>'TABLE (observations)'!$AN$35</c:f>
              <c:numCache>
                <c:formatCode>General</c:formatCode>
                <c:ptCount val="1"/>
                <c:pt idx="0">
                  <c:v>23.4208681863972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1C-9DD5-4268-BCCD-CFFE3C38E080}"/>
            </c:ext>
          </c:extLst>
        </c:ser>
        <c:ser>
          <c:idx val="29"/>
          <c:order val="29"/>
          <c:tx>
            <c:strRef>
              <c:f>'TABLE (observations)'!$AL$36</c:f>
              <c:strCache>
                <c:ptCount val="1"/>
                <c:pt idx="0">
                  <c:v>Eltanin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(observations)'!$AM$36</c:f>
              <c:numCache>
                <c:formatCode>General</c:formatCode>
                <c:ptCount val="1"/>
                <c:pt idx="0">
                  <c:v>301.38221905392857</c:v>
                </c:pt>
              </c:numCache>
            </c:numRef>
          </c:xVal>
          <c:yVal>
            <c:numRef>
              <c:f>'TABLE (observations)'!$AN$36</c:f>
              <c:numCache>
                <c:formatCode>General</c:formatCode>
                <c:ptCount val="1"/>
                <c:pt idx="0">
                  <c:v>43.662037873424097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1D-9DD5-4268-BCCD-CFFE3C38E080}"/>
            </c:ext>
          </c:extLst>
        </c:ser>
        <c:ser>
          <c:idx val="30"/>
          <c:order val="30"/>
          <c:tx>
            <c:strRef>
              <c:f>'TABLE (observations)'!$AL$37</c:f>
              <c:strCache>
                <c:ptCount val="1"/>
                <c:pt idx="0">
                  <c:v>Enif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(observations)'!$AM$37</c:f>
              <c:numCache>
                <c:formatCode>General</c:formatCode>
                <c:ptCount val="1"/>
                <c:pt idx="0">
                  <c:v>214.08579625743738</c:v>
                </c:pt>
              </c:numCache>
            </c:numRef>
          </c:xVal>
          <c:yVal>
            <c:numRef>
              <c:f>'TABLE (observations)'!$AN$37</c:f>
              <c:numCache>
                <c:formatCode>General</c:formatCode>
                <c:ptCount val="1"/>
                <c:pt idx="0">
                  <c:v>40.11228482049529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1E-9DD5-4268-BCCD-CFFE3C38E080}"/>
            </c:ext>
          </c:extLst>
        </c:ser>
        <c:ser>
          <c:idx val="31"/>
          <c:order val="31"/>
          <c:tx>
            <c:strRef>
              <c:f>'TABLE (observations)'!$AL$38</c:f>
              <c:strCache>
                <c:ptCount val="1"/>
                <c:pt idx="0">
                  <c:v>Formalhaut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(observations)'!$AM$38</c:f>
              <c:numCache>
                <c:formatCode>General</c:formatCode>
                <c:ptCount val="1"/>
                <c:pt idx="0">
                  <c:v>186.52214640651061</c:v>
                </c:pt>
              </c:numCache>
            </c:numRef>
          </c:xVal>
          <c:yVal>
            <c:numRef>
              <c:f>'TABLE (observations)'!$AN$38</c:f>
              <c:numCache>
                <c:formatCode>General</c:formatCode>
                <c:ptCount val="1"/>
                <c:pt idx="0">
                  <c:v>4.6847889553309239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1F-9DD5-4268-BCCD-CFFE3C38E080}"/>
            </c:ext>
          </c:extLst>
        </c:ser>
        <c:ser>
          <c:idx val="32"/>
          <c:order val="32"/>
          <c:tx>
            <c:strRef>
              <c:f>'TABLE (observations)'!$AL$39</c:f>
              <c:strCache>
                <c:ptCount val="1"/>
                <c:pt idx="0">
                  <c:v>Gacrux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'TABLE (observations)'!$AM$39</c:f>
              <c:numCache>
                <c:formatCode>General</c:formatCode>
                <c:ptCount val="1"/>
                <c:pt idx="0">
                  <c:v>252.73117200674875</c:v>
                </c:pt>
              </c:numCache>
            </c:numRef>
          </c:xVal>
          <c:yVal>
            <c:numRef>
              <c:f>'TABLE (observations)'!$AN$39</c:f>
              <c:numCache>
                <c:formatCode>General</c:formatCode>
                <c:ptCount val="1"/>
                <c:pt idx="0">
                  <c:v>-81.068789306895795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20-9DD5-4268-BCCD-CFFE3C38E080}"/>
            </c:ext>
          </c:extLst>
        </c:ser>
        <c:ser>
          <c:idx val="33"/>
          <c:order val="33"/>
          <c:tx>
            <c:strRef>
              <c:f>'TABLE (observations)'!$AL$40</c:f>
              <c:strCache>
                <c:ptCount val="1"/>
                <c:pt idx="0">
                  <c:v>Gienah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'TABLE (observations)'!$AM$40</c:f>
              <c:numCache>
                <c:formatCode>General</c:formatCode>
                <c:ptCount val="1"/>
                <c:pt idx="0">
                  <c:v>341.51371380079064</c:v>
                </c:pt>
              </c:numCache>
            </c:numRef>
          </c:xVal>
          <c:yVal>
            <c:numRef>
              <c:f>'TABLE (observations)'!$AN$40</c:f>
              <c:numCache>
                <c:formatCode>General</c:formatCode>
                <c:ptCount val="1"/>
                <c:pt idx="0">
                  <c:v>-50.994186981455343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21-9DD5-4268-BCCD-CFFE3C38E080}"/>
            </c:ext>
          </c:extLst>
        </c:ser>
        <c:ser>
          <c:idx val="34"/>
          <c:order val="34"/>
          <c:tx>
            <c:strRef>
              <c:f>'TABLE (observations)'!$AL$41</c:f>
              <c:strCache>
                <c:ptCount val="1"/>
                <c:pt idx="0">
                  <c:v>Hadar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'TABLE (observations)'!$AM$41</c:f>
              <c:numCache>
                <c:formatCode>General</c:formatCode>
                <c:ptCount val="1"/>
                <c:pt idx="0">
                  <c:v>240.40665749779981</c:v>
                </c:pt>
              </c:numCache>
            </c:numRef>
          </c:xVal>
          <c:yVal>
            <c:numRef>
              <c:f>'TABLE (observations)'!$AN$41</c:f>
              <c:numCache>
                <c:formatCode>General</c:formatCode>
                <c:ptCount val="1"/>
                <c:pt idx="0">
                  <c:v>-69.087087770662507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22-9DD5-4268-BCCD-CFFE3C38E080}"/>
            </c:ext>
          </c:extLst>
        </c:ser>
        <c:ser>
          <c:idx val="35"/>
          <c:order val="35"/>
          <c:tx>
            <c:strRef>
              <c:f>'TABLE (observations)'!$AL$42</c:f>
              <c:strCache>
                <c:ptCount val="1"/>
                <c:pt idx="0">
                  <c:v>Hamal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(observations)'!$AM$42</c:f>
              <c:numCache>
                <c:formatCode>General</c:formatCode>
                <c:ptCount val="1"/>
                <c:pt idx="0">
                  <c:v>120.994506627503</c:v>
                </c:pt>
              </c:numCache>
            </c:numRef>
          </c:xVal>
          <c:yVal>
            <c:numRef>
              <c:f>'TABLE (observations)'!$AN$42</c:f>
              <c:numCache>
                <c:formatCode>General</c:formatCode>
                <c:ptCount val="1"/>
                <c:pt idx="0">
                  <c:v>46.647803200707543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23-9DD5-4268-BCCD-CFFE3C38E080}"/>
            </c:ext>
          </c:extLst>
        </c:ser>
        <c:ser>
          <c:idx val="36"/>
          <c:order val="36"/>
          <c:tx>
            <c:strRef>
              <c:f>'TABLE (observations)'!$AL$43</c:f>
              <c:strCache>
                <c:ptCount val="1"/>
                <c:pt idx="0">
                  <c:v>Jupiter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(observations)'!$AM$43</c:f>
              <c:numCache>
                <c:formatCode>General</c:formatCode>
                <c:ptCount val="1"/>
                <c:pt idx="0">
                  <c:v>114.79351828858766</c:v>
                </c:pt>
              </c:numCache>
            </c:numRef>
          </c:xVal>
          <c:yVal>
            <c:numRef>
              <c:f>'TABLE (observations)'!$AN$43</c:f>
              <c:numCache>
                <c:formatCode>General</c:formatCode>
                <c:ptCount val="1"/>
                <c:pt idx="0">
                  <c:v>33.868758534604481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2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24-9DD5-4268-BCCD-CFFE3C38E080}"/>
            </c:ext>
          </c:extLst>
        </c:ser>
        <c:ser>
          <c:idx val="37"/>
          <c:order val="37"/>
          <c:tx>
            <c:strRef>
              <c:f>'TABLE (observations)'!$AL$44</c:f>
              <c:strCache>
                <c:ptCount val="1"/>
                <c:pt idx="0">
                  <c:v>Kaus Austr.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(observations)'!$AM$44</c:f>
              <c:numCache>
                <c:formatCode>General</c:formatCode>
                <c:ptCount val="1"/>
                <c:pt idx="0">
                  <c:v>238.75292687247801</c:v>
                </c:pt>
              </c:numCache>
            </c:numRef>
          </c:xVal>
          <c:yVal>
            <c:numRef>
              <c:f>'TABLE (observations)'!$AN$44</c:f>
              <c:numCache>
                <c:formatCode>General</c:formatCode>
                <c:ptCount val="1"/>
                <c:pt idx="0">
                  <c:v>-20.58313838301957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25-9DD5-4268-BCCD-CFFE3C38E080}"/>
            </c:ext>
          </c:extLst>
        </c:ser>
        <c:ser>
          <c:idx val="38"/>
          <c:order val="38"/>
          <c:tx>
            <c:strRef>
              <c:f>'TABLE (observations)'!$AL$45</c:f>
              <c:strCache>
                <c:ptCount val="1"/>
                <c:pt idx="0">
                  <c:v>Kochab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(observations)'!$AM$45</c:f>
              <c:numCache>
                <c:formatCode>General</c:formatCode>
                <c:ptCount val="1"/>
                <c:pt idx="0">
                  <c:v>342.73962584238086</c:v>
                </c:pt>
              </c:numCache>
            </c:numRef>
          </c:xVal>
          <c:yVal>
            <c:numRef>
              <c:f>'TABLE (observations)'!$AN$45</c:f>
              <c:numCache>
                <c:formatCode>General</c:formatCode>
                <c:ptCount val="1"/>
                <c:pt idx="0">
                  <c:v>44.04818417175067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26-9DD5-4268-BCCD-CFFE3C38E080}"/>
            </c:ext>
          </c:extLst>
        </c:ser>
        <c:ser>
          <c:idx val="39"/>
          <c:order val="39"/>
          <c:tx>
            <c:strRef>
              <c:f>'TABLE (observations)'!$AL$46</c:f>
              <c:strCache>
                <c:ptCount val="1"/>
                <c:pt idx="0">
                  <c:v>Markab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(observations)'!$AM$46</c:f>
              <c:numCache>
                <c:formatCode>General</c:formatCode>
                <c:ptCount val="1"/>
                <c:pt idx="0">
                  <c:v>188.41152499022596</c:v>
                </c:pt>
              </c:numCache>
            </c:numRef>
          </c:xVal>
          <c:yVal>
            <c:numRef>
              <c:f>'TABLE (observations)'!$AN$46</c:f>
              <c:numCache>
                <c:formatCode>General</c:formatCode>
                <c:ptCount val="1"/>
                <c:pt idx="0">
                  <c:v>49.523430045438033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27-9DD5-4268-BCCD-CFFE3C38E080}"/>
            </c:ext>
          </c:extLst>
        </c:ser>
        <c:ser>
          <c:idx val="40"/>
          <c:order val="40"/>
          <c:tx>
            <c:strRef>
              <c:f>'TABLE (observations)'!$AL$47</c:f>
              <c:strCache>
                <c:ptCount val="1"/>
                <c:pt idx="0">
                  <c:v>Mars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'TABLE (observations)'!$AM$47</c:f>
              <c:numCache>
                <c:formatCode>General</c:formatCode>
                <c:ptCount val="1"/>
                <c:pt idx="0">
                  <c:v>344.71297806843637</c:v>
                </c:pt>
              </c:numCache>
            </c:numRef>
          </c:xVal>
          <c:yVal>
            <c:numRef>
              <c:f>'TABLE (observations)'!$AN$47</c:f>
              <c:numCache>
                <c:formatCode>General</c:formatCode>
                <c:ptCount val="1"/>
                <c:pt idx="0">
                  <c:v>-34.834171378077357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2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28-9DD5-4268-BCCD-CFFE3C38E080}"/>
            </c:ext>
          </c:extLst>
        </c:ser>
        <c:ser>
          <c:idx val="41"/>
          <c:order val="41"/>
          <c:tx>
            <c:strRef>
              <c:f>'TABLE (observations)'!$AL$48</c:f>
              <c:strCache>
                <c:ptCount val="1"/>
                <c:pt idx="0">
                  <c:v>Menkar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(observations)'!$AM$48</c:f>
              <c:numCache>
                <c:formatCode>General</c:formatCode>
                <c:ptCount val="1"/>
                <c:pt idx="0">
                  <c:v>118.9952800219032</c:v>
                </c:pt>
              </c:numCache>
            </c:numRef>
          </c:xVal>
          <c:yVal>
            <c:numRef>
              <c:f>'TABLE (observations)'!$AN$48</c:f>
              <c:numCache>
                <c:formatCode>General</c:formatCode>
                <c:ptCount val="1"/>
                <c:pt idx="0">
                  <c:v>23.186368514825418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29-9DD5-4268-BCCD-CFFE3C38E080}"/>
            </c:ext>
          </c:extLst>
        </c:ser>
        <c:ser>
          <c:idx val="42"/>
          <c:order val="42"/>
          <c:tx>
            <c:strRef>
              <c:f>'TABLE (observations)'!$AL$49</c:f>
              <c:strCache>
                <c:ptCount val="1"/>
                <c:pt idx="0">
                  <c:v>Menkent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'TABLE (observations)'!$AM$49</c:f>
              <c:numCache>
                <c:formatCode>General</c:formatCode>
                <c:ptCount val="1"/>
                <c:pt idx="0">
                  <c:v>288.63472603925675</c:v>
                </c:pt>
              </c:numCache>
            </c:numRef>
          </c:xVal>
          <c:yVal>
            <c:numRef>
              <c:f>'TABLE (observations)'!$AN$49</c:f>
              <c:numCache>
                <c:formatCode>General</c:formatCode>
                <c:ptCount val="1"/>
                <c:pt idx="0">
                  <c:v>-57.104576013422381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2A-9DD5-4268-BCCD-CFFE3C38E080}"/>
            </c:ext>
          </c:extLst>
        </c:ser>
        <c:ser>
          <c:idx val="43"/>
          <c:order val="43"/>
          <c:tx>
            <c:strRef>
              <c:f>'TABLE (observations)'!$AL$50</c:f>
              <c:strCache>
                <c:ptCount val="1"/>
                <c:pt idx="0">
                  <c:v>Miaplacidus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'TABLE (observations)'!$AM$50</c:f>
              <c:numCache>
                <c:formatCode>General</c:formatCode>
                <c:ptCount val="1"/>
                <c:pt idx="0">
                  <c:v>146.95069761424347</c:v>
                </c:pt>
              </c:numCache>
            </c:numRef>
          </c:xVal>
          <c:yVal>
            <c:numRef>
              <c:f>'TABLE (observations)'!$AN$50</c:f>
              <c:numCache>
                <c:formatCode>General</c:formatCode>
                <c:ptCount val="1"/>
                <c:pt idx="0">
                  <c:v>-69.504796961613977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2B-9DD5-4268-BCCD-CFFE3C38E080}"/>
            </c:ext>
          </c:extLst>
        </c:ser>
        <c:ser>
          <c:idx val="44"/>
          <c:order val="44"/>
          <c:tx>
            <c:strRef>
              <c:f>'TABLE (observations)'!$AL$51</c:f>
              <c:strCache>
                <c:ptCount val="1"/>
                <c:pt idx="0">
                  <c:v>Mirfak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(observations)'!$AM$51</c:f>
              <c:numCache>
                <c:formatCode>General</c:formatCode>
                <c:ptCount val="1"/>
                <c:pt idx="0">
                  <c:v>73.742766983685797</c:v>
                </c:pt>
              </c:numCache>
            </c:numRef>
          </c:xVal>
          <c:yVal>
            <c:numRef>
              <c:f>'TABLE (observations)'!$AN$51</c:f>
              <c:numCache>
                <c:formatCode>General</c:formatCode>
                <c:ptCount val="1"/>
                <c:pt idx="0">
                  <c:v>54.825622664466295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2C-9DD5-4268-BCCD-CFFE3C38E080}"/>
            </c:ext>
          </c:extLst>
        </c:ser>
        <c:ser>
          <c:idx val="45"/>
          <c:order val="45"/>
          <c:tx>
            <c:strRef>
              <c:f>'TABLE (observations)'!$AL$52</c:f>
              <c:strCache>
                <c:ptCount val="1"/>
                <c:pt idx="0">
                  <c:v>Nunki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(observations)'!$AM$52</c:f>
              <c:numCache>
                <c:formatCode>General</c:formatCode>
                <c:ptCount val="1"/>
                <c:pt idx="0">
                  <c:v>237.67144331372765</c:v>
                </c:pt>
              </c:numCache>
            </c:numRef>
          </c:xVal>
          <c:yVal>
            <c:numRef>
              <c:f>'TABLE (observations)'!$AN$52</c:f>
              <c:numCache>
                <c:formatCode>General</c:formatCode>
                <c:ptCount val="1"/>
                <c:pt idx="0">
                  <c:v>-10.115780351310121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2D-9DD5-4268-BCCD-CFFE3C38E080}"/>
            </c:ext>
          </c:extLst>
        </c:ser>
        <c:ser>
          <c:idx val="46"/>
          <c:order val="46"/>
          <c:tx>
            <c:strRef>
              <c:f>'TABLE (observations)'!$AL$53</c:f>
              <c:strCache>
                <c:ptCount val="1"/>
                <c:pt idx="0">
                  <c:v>Peacock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'TABLE (observations)'!$AM$53</c:f>
              <c:numCache>
                <c:formatCode>General</c:formatCode>
                <c:ptCount val="1"/>
                <c:pt idx="0">
                  <c:v>206.4033965299372</c:v>
                </c:pt>
              </c:numCache>
            </c:numRef>
          </c:xVal>
          <c:yVal>
            <c:numRef>
              <c:f>'TABLE (observations)'!$AN$53</c:f>
              <c:numCache>
                <c:formatCode>General</c:formatCode>
                <c:ptCount val="1"/>
                <c:pt idx="0">
                  <c:v>-28.125500798804911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2E-9DD5-4268-BCCD-CFFE3C38E080}"/>
            </c:ext>
          </c:extLst>
        </c:ser>
        <c:ser>
          <c:idx val="47"/>
          <c:order val="47"/>
          <c:tx>
            <c:strRef>
              <c:f>'TABLE (observations)'!$AL$54</c:f>
              <c:strCache>
                <c:ptCount val="1"/>
                <c:pt idx="0">
                  <c:v>Pollux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(observations)'!$AM$54</c:f>
              <c:numCache>
                <c:formatCode>General</c:formatCode>
                <c:ptCount val="1"/>
                <c:pt idx="0">
                  <c:v>47.045718092473386</c:v>
                </c:pt>
              </c:numCache>
            </c:numRef>
          </c:xVal>
          <c:yVal>
            <c:numRef>
              <c:f>'TABLE (observations)'!$AN$54</c:f>
              <c:numCache>
                <c:formatCode>General</c:formatCode>
                <c:ptCount val="1"/>
                <c:pt idx="0">
                  <c:v>5.9719008021029776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2F-9DD5-4268-BCCD-CFFE3C38E080}"/>
            </c:ext>
          </c:extLst>
        </c:ser>
        <c:ser>
          <c:idx val="48"/>
          <c:order val="48"/>
          <c:tx>
            <c:strRef>
              <c:f>'TABLE (observations)'!$AL$55</c:f>
              <c:strCache>
                <c:ptCount val="1"/>
                <c:pt idx="0">
                  <c:v>Procyon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'TABLE (observations)'!$AM$55</c:f>
              <c:numCache>
                <c:formatCode>General</c:formatCode>
                <c:ptCount val="1"/>
                <c:pt idx="0">
                  <c:v>59.193609435631735</c:v>
                </c:pt>
              </c:numCache>
            </c:numRef>
          </c:xVal>
          <c:yVal>
            <c:numRef>
              <c:f>'TABLE (observations)'!$AN$55</c:f>
              <c:numCache>
                <c:formatCode>General</c:formatCode>
                <c:ptCount val="1"/>
                <c:pt idx="0">
                  <c:v>-13.425209613730075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30-9DD5-4268-BCCD-CFFE3C38E080}"/>
            </c:ext>
          </c:extLst>
        </c:ser>
        <c:ser>
          <c:idx val="49"/>
          <c:order val="49"/>
          <c:tx>
            <c:strRef>
              <c:f>'TABLE (observations)'!$AL$56</c:f>
              <c:strCache>
                <c:ptCount val="1"/>
                <c:pt idx="0">
                  <c:v>Rasalhague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(observations)'!$AM$56</c:f>
              <c:numCache>
                <c:formatCode>General</c:formatCode>
                <c:ptCount val="1"/>
                <c:pt idx="0">
                  <c:v>275.6387339474997</c:v>
                </c:pt>
              </c:numCache>
            </c:numRef>
          </c:xVal>
          <c:yVal>
            <c:numRef>
              <c:f>'TABLE (observations)'!$AN$56</c:f>
              <c:numCache>
                <c:formatCode>General</c:formatCode>
                <c:ptCount val="1"/>
                <c:pt idx="0">
                  <c:v>11.382336798467955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31-9DD5-4268-BCCD-CFFE3C38E080}"/>
            </c:ext>
          </c:extLst>
        </c:ser>
        <c:ser>
          <c:idx val="50"/>
          <c:order val="50"/>
          <c:tx>
            <c:strRef>
              <c:f>'TABLE (observations)'!$AL$57</c:f>
              <c:strCache>
                <c:ptCount val="1"/>
                <c:pt idx="0">
                  <c:v>Regulus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'TABLE (observations)'!$AM$57</c:f>
              <c:numCache>
                <c:formatCode>General</c:formatCode>
                <c:ptCount val="1"/>
                <c:pt idx="0">
                  <c:v>20.68715306978411</c:v>
                </c:pt>
              </c:numCache>
            </c:numRef>
          </c:xVal>
          <c:yVal>
            <c:numRef>
              <c:f>'TABLE (observations)'!$AN$57</c:f>
              <c:numCache>
                <c:formatCode>General</c:formatCode>
                <c:ptCount val="1"/>
                <c:pt idx="0">
                  <c:v>-20.569365401855176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32-9DD5-4268-BCCD-CFFE3C38E080}"/>
            </c:ext>
          </c:extLst>
        </c:ser>
        <c:ser>
          <c:idx val="51"/>
          <c:order val="51"/>
          <c:tx>
            <c:strRef>
              <c:f>'TABLE (observations)'!$AL$58</c:f>
              <c:strCache>
                <c:ptCount val="1"/>
                <c:pt idx="0">
                  <c:v>Rigel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'TABLE (observations)'!$AM$58</c:f>
              <c:numCache>
                <c:formatCode>General</c:formatCode>
                <c:ptCount val="1"/>
                <c:pt idx="0">
                  <c:v>97.277741868040877</c:v>
                </c:pt>
              </c:numCache>
            </c:numRef>
          </c:xVal>
          <c:yVal>
            <c:numRef>
              <c:f>'TABLE (observations)'!$AN$58</c:f>
              <c:numCache>
                <c:formatCode>General</c:formatCode>
                <c:ptCount val="1"/>
                <c:pt idx="0">
                  <c:v>-4.9323489925177313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33-9DD5-4268-BCCD-CFFE3C38E080}"/>
            </c:ext>
          </c:extLst>
        </c:ser>
        <c:ser>
          <c:idx val="52"/>
          <c:order val="52"/>
          <c:tx>
            <c:strRef>
              <c:f>'TABLE (observations)'!$AL$59</c:f>
              <c:strCache>
                <c:ptCount val="1"/>
                <c:pt idx="0">
                  <c:v>Rigil Kent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'TABLE (observations)'!$AM$59</c:f>
              <c:numCache>
                <c:formatCode>General</c:formatCode>
                <c:ptCount val="1"/>
                <c:pt idx="0">
                  <c:v>237.96322771545783</c:v>
                </c:pt>
              </c:numCache>
            </c:numRef>
          </c:xVal>
          <c:yVal>
            <c:numRef>
              <c:f>'TABLE (observations)'!$AN$59</c:f>
              <c:numCache>
                <c:formatCode>General</c:formatCode>
                <c:ptCount val="1"/>
                <c:pt idx="0">
                  <c:v>-64.792370147079936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34-9DD5-4268-BCCD-CFFE3C38E080}"/>
            </c:ext>
          </c:extLst>
        </c:ser>
        <c:ser>
          <c:idx val="53"/>
          <c:order val="53"/>
          <c:tx>
            <c:strRef>
              <c:f>'TABLE (observations)'!$AL$60</c:f>
              <c:strCache>
                <c:ptCount val="1"/>
                <c:pt idx="0">
                  <c:v>Sabik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(observations)'!$AM$60</c:f>
              <c:numCache>
                <c:formatCode>General</c:formatCode>
                <c:ptCount val="1"/>
                <c:pt idx="0">
                  <c:v>264.3919138556497</c:v>
                </c:pt>
              </c:numCache>
            </c:numRef>
          </c:xVal>
          <c:yVal>
            <c:numRef>
              <c:f>'TABLE (observations)'!$AN$60</c:f>
              <c:numCache>
                <c:formatCode>General</c:formatCode>
                <c:ptCount val="1"/>
                <c:pt idx="0">
                  <c:v>-15.338141227120223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35-9DD5-4268-BCCD-CFFE3C38E080}"/>
            </c:ext>
          </c:extLst>
        </c:ser>
        <c:ser>
          <c:idx val="54"/>
          <c:order val="54"/>
          <c:tx>
            <c:strRef>
              <c:f>'TABLE (observations)'!$AL$61</c:f>
              <c:strCache>
                <c:ptCount val="1"/>
                <c:pt idx="0">
                  <c:v>Saturnus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(observations)'!$AM$61</c:f>
              <c:numCache>
                <c:formatCode>General</c:formatCode>
                <c:ptCount val="1"/>
                <c:pt idx="0">
                  <c:v>197.12356508895445</c:v>
                </c:pt>
              </c:numCache>
            </c:numRef>
          </c:xVal>
          <c:yVal>
            <c:numRef>
              <c:f>'TABLE (observations)'!$AN$61</c:f>
              <c:numCache>
                <c:formatCode>General</c:formatCode>
                <c:ptCount val="1"/>
                <c:pt idx="0">
                  <c:v>21.072749016255333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2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36-9DD5-4268-BCCD-CFFE3C38E080}"/>
            </c:ext>
          </c:extLst>
        </c:ser>
        <c:ser>
          <c:idx val="55"/>
          <c:order val="55"/>
          <c:tx>
            <c:strRef>
              <c:f>'TABLE (observations)'!$AL$62</c:f>
              <c:strCache>
                <c:ptCount val="1"/>
                <c:pt idx="0">
                  <c:v>Schedar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xVal>
            <c:numRef>
              <c:f>'TABLE (observations)'!$AM$62</c:f>
              <c:numCache>
                <c:formatCode>General</c:formatCode>
                <c:ptCount val="1"/>
                <c:pt idx="0">
                  <c:v>76.311339994217619</c:v>
                </c:pt>
              </c:numCache>
            </c:numRef>
          </c:xVal>
          <c:yVal>
            <c:numRef>
              <c:f>'TABLE (observations)'!$AN$62</c:f>
              <c:numCache>
                <c:formatCode>General</c:formatCode>
                <c:ptCount val="1"/>
                <c:pt idx="0">
                  <c:v>79.783536669525063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37-9DD5-4268-BCCD-CFFE3C38E080}"/>
            </c:ext>
          </c:extLst>
        </c:ser>
        <c:ser>
          <c:idx val="56"/>
          <c:order val="56"/>
          <c:tx>
            <c:strRef>
              <c:f>'TABLE (observations)'!$AL$63</c:f>
              <c:strCache>
                <c:ptCount val="1"/>
                <c:pt idx="0">
                  <c:v>Shaula</c:v>
                </c:pt>
              </c:strCache>
            </c:strRef>
          </c:tx>
          <c:spPr>
            <a:pattFill prst="pct50">
              <a:fgClr>
                <a:srgbClr val="FFCC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(observations)'!$AM$63</c:f>
              <c:numCache>
                <c:formatCode>General</c:formatCode>
                <c:ptCount val="1"/>
                <c:pt idx="0">
                  <c:v>245.78356405490416</c:v>
                </c:pt>
              </c:numCache>
            </c:numRef>
          </c:xVal>
          <c:yVal>
            <c:numRef>
              <c:f>'TABLE (observations)'!$AN$63</c:f>
              <c:numCache>
                <c:formatCode>General</c:formatCode>
                <c:ptCount val="1"/>
                <c:pt idx="0">
                  <c:v>-29.068143138814275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38-9DD5-4268-BCCD-CFFE3C38E080}"/>
            </c:ext>
          </c:extLst>
        </c:ser>
        <c:ser>
          <c:idx val="57"/>
          <c:order val="57"/>
          <c:tx>
            <c:strRef>
              <c:f>'TABLE (observations)'!$AL$64</c:f>
              <c:strCache>
                <c:ptCount val="1"/>
                <c:pt idx="0">
                  <c:v>Sirius</c:v>
                </c:pt>
              </c:strCache>
            </c:strRef>
          </c:tx>
          <c:spPr>
            <a:pattFill prst="pct50">
              <a:fgClr>
                <a:srgbClr val="FFCC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'TABLE (observations)'!$AM$64</c:f>
              <c:numCache>
                <c:formatCode>General</c:formatCode>
                <c:ptCount val="1"/>
                <c:pt idx="0">
                  <c:v>83.680704494512611</c:v>
                </c:pt>
              </c:numCache>
            </c:numRef>
          </c:xVal>
          <c:yVal>
            <c:numRef>
              <c:f>'TABLE (observations)'!$AN$64</c:f>
              <c:numCache>
                <c:formatCode>General</c:formatCode>
                <c:ptCount val="1"/>
                <c:pt idx="0">
                  <c:v>-24.692232853216364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39-9DD5-4268-BCCD-CFFE3C38E080}"/>
            </c:ext>
          </c:extLst>
        </c:ser>
        <c:ser>
          <c:idx val="58"/>
          <c:order val="58"/>
          <c:tx>
            <c:strRef>
              <c:f>'TABLE (observations)'!$AL$65</c:f>
              <c:strCache>
                <c:ptCount val="1"/>
                <c:pt idx="0">
                  <c:v>Spica</c:v>
                </c:pt>
              </c:strCache>
            </c:strRef>
          </c:tx>
          <c:spPr>
            <a:pattFill prst="pct50">
              <a:fgClr>
                <a:srgbClr val="FFCC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(observations)'!$AM$65</c:f>
              <c:numCache>
                <c:formatCode>General</c:formatCode>
                <c:ptCount val="1"/>
                <c:pt idx="0">
                  <c:v>320.93686487937475</c:v>
                </c:pt>
              </c:numCache>
            </c:numRef>
          </c:xVal>
          <c:yVal>
            <c:numRef>
              <c:f>'TABLE (observations)'!$AN$65</c:f>
              <c:numCache>
                <c:formatCode>General</c:formatCode>
                <c:ptCount val="1"/>
                <c:pt idx="0">
                  <c:v>-40.104372560541002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3A-9DD5-4268-BCCD-CFFE3C38E080}"/>
            </c:ext>
          </c:extLst>
        </c:ser>
        <c:ser>
          <c:idx val="59"/>
          <c:order val="59"/>
          <c:tx>
            <c:strRef>
              <c:f>'TABLE (observations)'!$AL$66</c:f>
              <c:strCache>
                <c:ptCount val="1"/>
                <c:pt idx="0">
                  <c:v>Suhail</c:v>
                </c:pt>
              </c:strCache>
            </c:strRef>
          </c:tx>
          <c:spPr>
            <a:pattFill prst="pct50">
              <a:fgClr>
                <a:srgbClr val="FFCC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'TABLE (observations)'!$AM$66</c:f>
              <c:numCache>
                <c:formatCode>General</c:formatCode>
                <c:ptCount val="1"/>
                <c:pt idx="0">
                  <c:v>76.25796328759445</c:v>
                </c:pt>
              </c:numCache>
            </c:numRef>
          </c:xVal>
          <c:yVal>
            <c:numRef>
              <c:f>'TABLE (observations)'!$AN$66</c:f>
              <c:numCache>
                <c:formatCode>General</c:formatCode>
                <c:ptCount val="1"/>
                <c:pt idx="0">
                  <c:v>-64.740621980543864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3B-9DD5-4268-BCCD-CFFE3C38E080}"/>
            </c:ext>
          </c:extLst>
        </c:ser>
        <c:ser>
          <c:idx val="60"/>
          <c:order val="60"/>
          <c:tx>
            <c:strRef>
              <c:f>'TABLE (observations)'!$AL$67</c:f>
              <c:strCache>
                <c:ptCount val="1"/>
                <c:pt idx="0">
                  <c:v>Vega</c:v>
                </c:pt>
              </c:strCache>
            </c:strRef>
          </c:tx>
          <c:spPr>
            <a:pattFill prst="pct50">
              <a:fgClr>
                <a:srgbClr val="FFCC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(observations)'!$AM$67</c:f>
              <c:numCache>
                <c:formatCode>General</c:formatCode>
                <c:ptCount val="1"/>
                <c:pt idx="0">
                  <c:v>282.28827703776233</c:v>
                </c:pt>
              </c:numCache>
            </c:numRef>
          </c:xVal>
          <c:yVal>
            <c:numRef>
              <c:f>'TABLE (observations)'!$AN$67</c:f>
              <c:numCache>
                <c:formatCode>General</c:formatCode>
                <c:ptCount val="1"/>
                <c:pt idx="0">
                  <c:v>40.444293423819246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3C-9DD5-4268-BCCD-CFFE3C38E080}"/>
            </c:ext>
          </c:extLst>
        </c:ser>
        <c:ser>
          <c:idx val="61"/>
          <c:order val="61"/>
          <c:tx>
            <c:strRef>
              <c:f>'TABLE (observations)'!$AL$68</c:f>
              <c:strCache>
                <c:ptCount val="1"/>
                <c:pt idx="0">
                  <c:v>Venus</c:v>
                </c:pt>
              </c:strCache>
            </c:strRef>
          </c:tx>
          <c:spPr>
            <a:pattFill prst="pct50">
              <a:fgClr>
                <a:srgbClr val="FF808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'TABLE (observations)'!$AM$68</c:f>
              <c:numCache>
                <c:formatCode>General</c:formatCode>
                <c:ptCount val="1"/>
                <c:pt idx="0">
                  <c:v>40.650360300244309</c:v>
                </c:pt>
              </c:numCache>
            </c:numRef>
          </c:xVal>
          <c:yVal>
            <c:numRef>
              <c:f>'TABLE (observations)'!$AN$68</c:f>
              <c:numCache>
                <c:formatCode>General</c:formatCode>
                <c:ptCount val="1"/>
                <c:pt idx="0">
                  <c:v>-16.299490364570335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2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3D-9DD5-4268-BCCD-CFFE3C38E080}"/>
            </c:ext>
          </c:extLst>
        </c:ser>
        <c:ser>
          <c:idx val="62"/>
          <c:order val="62"/>
          <c:tx>
            <c:strRef>
              <c:f>'TABLE (observations)'!$AL$69</c:f>
              <c:strCache>
                <c:ptCount val="1"/>
                <c:pt idx="0">
                  <c:v>Zuben'ubi</c:v>
                </c:pt>
              </c:strCache>
            </c:strRef>
          </c:tx>
          <c:spPr>
            <a:pattFill prst="pct50">
              <a:fgClr>
                <a:srgbClr val="FFCC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</c:spPr>
            <c:txPr>
              <a:bodyPr rot="0" vert="horz"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Century Gothic"/>
                    <a:ea typeface="Century Gothic"/>
                    <a:cs typeface="Century Gothic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,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'TABLE (observations)'!$AM$69</c:f>
              <c:numCache>
                <c:formatCode>General</c:formatCode>
                <c:ptCount val="1"/>
                <c:pt idx="0">
                  <c:v>294.73121292781155</c:v>
                </c:pt>
              </c:numCache>
            </c:numRef>
          </c:xVal>
          <c:yVal>
            <c:numRef>
              <c:f>'TABLE (observations)'!$AN$69</c:f>
              <c:numCache>
                <c:formatCode>General</c:formatCode>
                <c:ptCount val="1"/>
                <c:pt idx="0">
                  <c:v>-34.895442212771606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3E-9DD5-4268-BCCD-CFFE3C38E080}"/>
            </c:ext>
          </c:extLst>
        </c:ser>
        <c:ser>
          <c:idx val="63"/>
          <c:order val="63"/>
          <c:tx>
            <c:v>bal</c:v>
          </c:tx>
          <c:spPr>
            <a:pattFill prst="pct50">
              <a:fgClr>
                <a:srgbClr val="27D6FF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-80</c:v>
              </c:pt>
            </c:numLit>
          </c:yVal>
          <c:bubbleSize>
            <c:numLit>
              <c:formatCode>General</c:formatCode>
              <c:ptCount val="1"/>
              <c:pt idx="0">
                <c:v>50</c:v>
              </c:pt>
            </c:numLit>
          </c:bubbleSize>
          <c:bubble3D val="1"/>
          <c:extLst>
            <c:ext xmlns:c16="http://schemas.microsoft.com/office/drawing/2014/chart" uri="{C3380CC4-5D6E-409C-BE32-E72D297353CC}">
              <c16:uniqueId val="{0000003F-9DD5-4268-BCCD-CFFE3C38E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74533120"/>
        <c:axId val="74555776"/>
      </c:bubbleChart>
      <c:valAx>
        <c:axId val="74533120"/>
        <c:scaling>
          <c:orientation val="minMax"/>
          <c:max val="360"/>
          <c:min val="0"/>
        </c:scaling>
        <c:delete val="0"/>
        <c:axPos val="b"/>
        <c:title>
          <c:tx>
            <c:rich>
              <a:bodyPr rot="0" vert="horz"/>
              <a:lstStyle/>
              <a:p>
                <a:pPr algn="ctr">
                  <a:defRPr lang="en-US" sz="95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zh-CN" altLang="zh-CN"/>
                  <a:t>Azimuth (degrees)</a:t>
                </a:r>
              </a:p>
            </c:rich>
          </c:tx>
          <c:layout/>
          <c:overlay val="0"/>
          <c:spPr>
            <a:noFill/>
            <a:ln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525" b="0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en-US"/>
          </a:p>
        </c:txPr>
        <c:crossAx val="74555776"/>
        <c:crosses val="autoZero"/>
        <c:crossBetween val="midCat"/>
        <c:majorUnit val="30"/>
        <c:minorUnit val="10"/>
      </c:valAx>
      <c:valAx>
        <c:axId val="74555776"/>
        <c:scaling>
          <c:orientation val="minMax"/>
          <c:max val="9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-5400000" vert="horz"/>
              <a:lstStyle/>
              <a:p>
                <a:pPr algn="ctr">
                  <a:defRPr lang="en-US" sz="95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zh-CN" altLang="zh-CN"/>
                  <a:t>Altitude (degrees)</a:t>
                </a:r>
              </a:p>
            </c:rich>
          </c:tx>
          <c:layout/>
          <c:overlay val="0"/>
          <c:spPr>
            <a:noFill/>
            <a:ln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525" b="0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en-US"/>
          </a:p>
        </c:txPr>
        <c:crossAx val="74533120"/>
        <c:crosses val="autoZero"/>
        <c:crossBetween val="between"/>
        <c:majorUnit val="10"/>
      </c:valAx>
      <c:spPr>
        <a:gradFill rotWithShape="0">
          <a:gsLst>
            <a:gs pos="0">
              <a:srgbClr val="287CFF"/>
            </a:gs>
            <a:gs pos="100000">
              <a:srgbClr val="2BD7FF"/>
            </a:gs>
          </a:gsLst>
          <a:lin ang="5400000" scaled="1"/>
        </a:gra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>
      <a:noFill/>
    </a:ln>
  </c:spPr>
  <c:txPr>
    <a:bodyPr/>
    <a:lstStyle/>
    <a:p>
      <a:pPr>
        <a:defRPr sz="1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Spin" dx="16" fmlaLink="U37" max="23" page="10" val="0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Spin" dx="16" fmlaLink="X37" max="59" page="10" val="10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Spin" dx="16" fmlaLink="AA37" max="59" page="10" val="0"/>
</file>

<file path=xl/ctrlProps/ctrlProp7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9525</xdr:colOff>
      <xdr:row>4</xdr:row>
      <xdr:rowOff>142875</xdr:rowOff>
    </xdr:from>
    <xdr:to>
      <xdr:col>67</xdr:col>
      <xdr:colOff>152400</xdr:colOff>
      <xdr:row>32</xdr:row>
      <xdr:rowOff>28575</xdr:rowOff>
    </xdr:to>
    <xdr:graphicFrame macro="">
      <xdr:nvGraphicFramePr>
        <xdr:cNvPr id="204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41</xdr:row>
      <xdr:rowOff>0</xdr:rowOff>
    </xdr:from>
    <xdr:to>
      <xdr:col>18</xdr:col>
      <xdr:colOff>209550</xdr:colOff>
      <xdr:row>42</xdr:row>
      <xdr:rowOff>161925</xdr:rowOff>
    </xdr:to>
    <xdr:sp macro="" textlink="">
      <xdr:nvSpPr>
        <xdr:cNvPr id="2050" name="Rectangle 55"/>
        <xdr:cNvSpPr>
          <a:spLocks noChangeArrowheads="1"/>
        </xdr:cNvSpPr>
      </xdr:nvSpPr>
      <xdr:spPr bwMode="auto">
        <a:xfrm>
          <a:off x="3286125" y="5991225"/>
          <a:ext cx="866775" cy="323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85725</xdr:colOff>
      <xdr:row>34</xdr:row>
      <xdr:rowOff>38100</xdr:rowOff>
    </xdr:from>
    <xdr:to>
      <xdr:col>36</xdr:col>
      <xdr:colOff>66675</xdr:colOff>
      <xdr:row>37</xdr:row>
      <xdr:rowOff>142875</xdr:rowOff>
    </xdr:to>
    <xdr:grpSp>
      <xdr:nvGrpSpPr>
        <xdr:cNvPr id="2051" name="Group 81"/>
        <xdr:cNvGrpSpPr>
          <a:grpSpLocks/>
        </xdr:cNvGrpSpPr>
      </xdr:nvGrpSpPr>
      <xdr:grpSpPr bwMode="auto">
        <a:xfrm>
          <a:off x="6585137" y="4744571"/>
          <a:ext cx="1549773" cy="575422"/>
          <a:chOff x="502" y="514"/>
          <a:chExt cx="117" cy="62"/>
        </a:xfrm>
      </xdr:grpSpPr>
      <xdr:sp macro="" textlink="">
        <xdr:nvSpPr>
          <xdr:cNvPr id="2052" name="Rectangle 57"/>
          <xdr:cNvSpPr>
            <a:spLocks noChangeArrowheads="1"/>
          </xdr:cNvSpPr>
        </xdr:nvSpPr>
        <xdr:spPr bwMode="auto">
          <a:xfrm>
            <a:off x="502" y="514"/>
            <a:ext cx="117" cy="62"/>
          </a:xfrm>
          <a:prstGeom prst="rect">
            <a:avLst/>
          </a:prstGeom>
          <a:solidFill>
            <a:srgbClr val="FFFF00"/>
          </a:solidFill>
          <a:ln w="38100">
            <a:solidFill>
              <a:srgbClr val="000000"/>
            </a:solidFill>
            <a:miter lim="800000"/>
            <a:headEnd/>
            <a:tailEnd/>
          </a:ln>
        </xdr:spPr>
      </xdr:sp>
    </xdr:grpSp>
    <xdr:clientData fLocksWithSheet="0" fPrintsWithSheet="0"/>
  </xdr:twoCellAnchor>
  <xdr:twoCellAnchor>
    <xdr:from>
      <xdr:col>15</xdr:col>
      <xdr:colOff>19050</xdr:colOff>
      <xdr:row>32</xdr:row>
      <xdr:rowOff>57150</xdr:rowOff>
    </xdr:from>
    <xdr:to>
      <xdr:col>67</xdr:col>
      <xdr:colOff>152400</xdr:colOff>
      <xdr:row>33</xdr:row>
      <xdr:rowOff>133350</xdr:rowOff>
    </xdr:to>
    <xdr:sp macro="" textlink="">
      <xdr:nvSpPr>
        <xdr:cNvPr id="2053" name="WordArt 84"/>
        <xdr:cNvSpPr>
          <a:spLocks noChangeArrowheads="1" noChangeShapeType="1" noTextEdit="1"/>
        </xdr:cNvSpPr>
      </xdr:nvSpPr>
      <xdr:spPr bwMode="auto">
        <a:xfrm>
          <a:off x="3305175" y="4591050"/>
          <a:ext cx="11525250" cy="23812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en-US" sz="3600" spc="-360">
              <a:ln w="12700">
                <a:solidFill>
                  <a:srgbClr val="000080"/>
                </a:solidFill>
                <a:round/>
                <a:headEnd/>
                <a:tailEnd/>
              </a:ln>
              <a:solidFill>
                <a:srgbClr val="FFFF00"/>
              </a:solidFill>
              <a:latin typeface="Impact"/>
            </a:rPr>
            <a:t>It is possible to change only that is allocated by yellow colour!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180975</xdr:colOff>
          <xdr:row>34</xdr:row>
          <xdr:rowOff>190500</xdr:rowOff>
        </xdr:from>
        <xdr:to>
          <xdr:col>31</xdr:col>
          <xdr:colOff>190500</xdr:colOff>
          <xdr:row>36</xdr:row>
          <xdr:rowOff>190500</xdr:rowOff>
        </xdr:to>
        <xdr:sp macro="" textlink="">
          <xdr:nvSpPr>
            <xdr:cNvPr id="2055" name="Spinner 30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38100">
              <a:miter lim="2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142875</xdr:colOff>
          <xdr:row>34</xdr:row>
          <xdr:rowOff>104775</xdr:rowOff>
        </xdr:from>
        <xdr:to>
          <xdr:col>36</xdr:col>
          <xdr:colOff>47625</xdr:colOff>
          <xdr:row>37</xdr:row>
          <xdr:rowOff>142875</xdr:rowOff>
        </xdr:to>
        <xdr:sp macro="" textlink="">
          <xdr:nvSpPr>
            <xdr:cNvPr id="2056" name="Group Box 31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38100">
              <a:miter lim="2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CHANGE 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228600</xdr:colOff>
          <xdr:row>36</xdr:row>
          <xdr:rowOff>152400</xdr:rowOff>
        </xdr:from>
        <xdr:to>
          <xdr:col>31</xdr:col>
          <xdr:colOff>171450</xdr:colOff>
          <xdr:row>37</xdr:row>
          <xdr:rowOff>123825</xdr:rowOff>
        </xdr:to>
        <xdr:sp macro="" textlink="">
          <xdr:nvSpPr>
            <xdr:cNvPr id="2057" name="Label 32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HOUR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219075</xdr:colOff>
          <xdr:row>34</xdr:row>
          <xdr:rowOff>190500</xdr:rowOff>
        </xdr:from>
        <xdr:to>
          <xdr:col>33</xdr:col>
          <xdr:colOff>228600</xdr:colOff>
          <xdr:row>36</xdr:row>
          <xdr:rowOff>190500</xdr:rowOff>
        </xdr:to>
        <xdr:sp macro="" textlink="">
          <xdr:nvSpPr>
            <xdr:cNvPr id="2058" name="Spinner 33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38100">
              <a:miter lim="2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38100</xdr:colOff>
          <xdr:row>36</xdr:row>
          <xdr:rowOff>152400</xdr:rowOff>
        </xdr:from>
        <xdr:to>
          <xdr:col>33</xdr:col>
          <xdr:colOff>133350</xdr:colOff>
          <xdr:row>37</xdr:row>
          <xdr:rowOff>123825</xdr:rowOff>
        </xdr:to>
        <xdr:sp macro="" textlink="">
          <xdr:nvSpPr>
            <xdr:cNvPr id="2059" name="Label 34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266700</xdr:colOff>
          <xdr:row>34</xdr:row>
          <xdr:rowOff>190500</xdr:rowOff>
        </xdr:from>
        <xdr:to>
          <xdr:col>35</xdr:col>
          <xdr:colOff>276225</xdr:colOff>
          <xdr:row>36</xdr:row>
          <xdr:rowOff>190500</xdr:rowOff>
        </xdr:to>
        <xdr:sp macro="" textlink="">
          <xdr:nvSpPr>
            <xdr:cNvPr id="2060" name="Spinner 35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38100">
              <a:miter lim="2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123825</xdr:colOff>
          <xdr:row>36</xdr:row>
          <xdr:rowOff>152400</xdr:rowOff>
        </xdr:from>
        <xdr:to>
          <xdr:col>35</xdr:col>
          <xdr:colOff>209550</xdr:colOff>
          <xdr:row>37</xdr:row>
          <xdr:rowOff>95250</xdr:rowOff>
        </xdr:to>
        <xdr:sp macro="" textlink="">
          <xdr:nvSpPr>
            <xdr:cNvPr id="2061" name="Label 36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SEC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IK5746"/>
  <sheetViews>
    <sheetView workbookViewId="0">
      <selection activeCell="G12" sqref="G12"/>
    </sheetView>
  </sheetViews>
  <sheetFormatPr defaultColWidth="9" defaultRowHeight="12.75"/>
  <sheetData>
    <row r="1" spans="2:245" s="34" customFormat="1" ht="15" customHeight="1">
      <c r="B1" s="35" t="s">
        <v>0</v>
      </c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CQ1" s="45"/>
      <c r="CR1" s="46"/>
      <c r="CS1" s="45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  <c r="DM1" s="40"/>
      <c r="DN1" s="40"/>
      <c r="DO1" s="40"/>
      <c r="DP1" s="40"/>
      <c r="DQ1" s="47"/>
      <c r="DR1" s="47"/>
      <c r="DS1" s="47"/>
      <c r="DT1" s="47"/>
      <c r="DU1" s="47"/>
      <c r="DV1" s="47"/>
      <c r="DW1" s="47"/>
      <c r="DX1" s="47"/>
      <c r="DY1" s="47"/>
      <c r="DZ1" s="47"/>
      <c r="EA1" s="47"/>
      <c r="EB1" s="40"/>
      <c r="EC1" s="40"/>
      <c r="ED1" s="40"/>
      <c r="EE1" s="40"/>
      <c r="EF1" s="40"/>
      <c r="EG1" s="40"/>
      <c r="EH1" s="40"/>
      <c r="EI1" s="40"/>
      <c r="EJ1" s="40"/>
    </row>
    <row r="2" spans="2:245" s="34" customFormat="1" ht="15" customHeight="1"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50" t="s">
        <v>1</v>
      </c>
      <c r="AJ2" s="50"/>
      <c r="AK2" s="50"/>
      <c r="AL2" s="50"/>
      <c r="AM2" s="50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0"/>
      <c r="BC2" s="50"/>
      <c r="CQ2" s="45"/>
      <c r="CR2" s="45"/>
      <c r="CS2" s="45"/>
      <c r="CW2" s="40"/>
      <c r="CX2" s="40"/>
      <c r="CY2" s="40"/>
      <c r="CZ2" s="40"/>
      <c r="DA2" s="40"/>
      <c r="DB2" s="40"/>
      <c r="DC2" s="40"/>
      <c r="DD2" s="50" t="s">
        <v>2</v>
      </c>
      <c r="DE2" s="50"/>
      <c r="DF2" s="50"/>
      <c r="DG2" s="50"/>
      <c r="DH2" s="50"/>
      <c r="DI2" s="50"/>
      <c r="DJ2" s="50"/>
      <c r="DK2" s="50"/>
      <c r="DL2" s="50"/>
      <c r="DM2" s="50"/>
      <c r="DN2" s="50"/>
      <c r="DO2" s="50"/>
      <c r="DP2" s="50"/>
      <c r="DQ2" s="50"/>
      <c r="DR2" s="50"/>
      <c r="DS2" s="50"/>
      <c r="DT2" s="50"/>
      <c r="DU2" s="50"/>
      <c r="DV2" s="50"/>
      <c r="DW2" s="50"/>
      <c r="DX2" s="50"/>
      <c r="DY2" s="50"/>
      <c r="DZ2" s="50"/>
      <c r="EA2" s="50"/>
      <c r="EB2" s="50"/>
      <c r="EC2" s="50"/>
      <c r="ED2" s="50"/>
      <c r="EE2" s="50"/>
      <c r="EF2" s="50"/>
      <c r="EG2" s="50"/>
      <c r="EH2" s="50"/>
      <c r="EI2" s="50"/>
      <c r="EJ2" s="50"/>
      <c r="EK2" s="51" t="s">
        <v>3</v>
      </c>
      <c r="EL2" s="51"/>
      <c r="EM2" s="51"/>
      <c r="EN2" s="51"/>
      <c r="EO2" s="51"/>
      <c r="EP2" s="51"/>
      <c r="EQ2" s="51"/>
      <c r="ER2" s="51"/>
      <c r="ES2" s="51"/>
      <c r="ET2" s="51"/>
      <c r="EU2" s="51"/>
      <c r="EV2" s="51"/>
      <c r="EW2" s="51"/>
      <c r="EX2" s="51"/>
      <c r="EY2" s="51"/>
      <c r="EZ2" s="51"/>
      <c r="FA2" s="51"/>
      <c r="FB2" s="51"/>
      <c r="FC2" s="51"/>
      <c r="FD2" s="51"/>
      <c r="FE2" s="51"/>
      <c r="FF2" s="51"/>
      <c r="FG2" s="51"/>
      <c r="FH2" s="51"/>
      <c r="FI2" s="51"/>
      <c r="FJ2" s="51"/>
      <c r="FK2" s="51"/>
      <c r="FL2" s="51"/>
      <c r="FM2" s="51"/>
      <c r="FN2" s="51"/>
      <c r="FO2" s="51"/>
      <c r="FP2" s="51"/>
      <c r="FQ2" s="51"/>
      <c r="FR2" s="51" t="s">
        <v>4</v>
      </c>
      <c r="FS2" s="51"/>
      <c r="FT2" s="51"/>
      <c r="FU2" s="51"/>
      <c r="FV2" s="51"/>
      <c r="FW2" s="51"/>
      <c r="FX2" s="51"/>
      <c r="FY2" s="51"/>
      <c r="FZ2" s="51"/>
      <c r="GA2" s="51"/>
      <c r="GB2" s="51"/>
      <c r="GC2" s="51"/>
      <c r="GD2" s="51"/>
      <c r="GE2" s="51"/>
      <c r="GF2" s="51"/>
      <c r="GG2" s="51"/>
      <c r="GH2" s="51"/>
      <c r="GI2" s="51"/>
      <c r="GJ2" s="51"/>
      <c r="GK2" s="51"/>
      <c r="GL2" s="51"/>
      <c r="GM2" s="51"/>
      <c r="GN2" s="51"/>
      <c r="GO2" s="51"/>
      <c r="GP2" s="51"/>
      <c r="GQ2" s="51"/>
      <c r="GR2" s="51"/>
      <c r="GS2" s="51"/>
      <c r="GT2" s="51"/>
      <c r="GU2" s="51"/>
      <c r="GV2" s="51"/>
      <c r="GW2" s="51"/>
      <c r="GX2" s="51"/>
      <c r="GY2" s="51"/>
      <c r="GZ2" s="51"/>
    </row>
    <row r="3" spans="2:245" s="34" customFormat="1" ht="15" customHeight="1">
      <c r="C3" s="34" t="s">
        <v>5</v>
      </c>
      <c r="D3" s="36" t="s">
        <v>6</v>
      </c>
      <c r="E3" s="34" t="s">
        <v>7</v>
      </c>
      <c r="F3" s="34" t="s">
        <v>8</v>
      </c>
      <c r="G3" s="34" t="s">
        <v>9</v>
      </c>
      <c r="H3" s="34" t="s">
        <v>10</v>
      </c>
      <c r="I3" s="34" t="s">
        <v>11</v>
      </c>
      <c r="J3" s="34" t="s">
        <v>12</v>
      </c>
      <c r="M3" s="34" t="s">
        <v>13</v>
      </c>
      <c r="N3" s="40" t="s">
        <v>14</v>
      </c>
      <c r="O3" s="40" t="s">
        <v>15</v>
      </c>
      <c r="P3" s="40" t="s">
        <v>16</v>
      </c>
      <c r="Q3" s="40" t="s">
        <v>17</v>
      </c>
      <c r="R3" s="40" t="s">
        <v>18</v>
      </c>
      <c r="S3" s="40" t="s">
        <v>19</v>
      </c>
      <c r="T3" s="40" t="s">
        <v>17</v>
      </c>
      <c r="U3" s="40" t="s">
        <v>20</v>
      </c>
      <c r="V3" s="40" t="s">
        <v>21</v>
      </c>
      <c r="W3" s="40" t="s">
        <v>15</v>
      </c>
      <c r="X3" s="40" t="s">
        <v>22</v>
      </c>
      <c r="Y3" s="40" t="s">
        <v>23</v>
      </c>
      <c r="Z3" s="40" t="s">
        <v>24</v>
      </c>
      <c r="AA3" s="40" t="s">
        <v>25</v>
      </c>
      <c r="AB3" s="40" t="s">
        <v>17</v>
      </c>
      <c r="AC3" s="40" t="s">
        <v>26</v>
      </c>
      <c r="AD3" s="40" t="s">
        <v>27</v>
      </c>
      <c r="AE3" s="40" t="s">
        <v>28</v>
      </c>
      <c r="AF3" s="40" t="s">
        <v>29</v>
      </c>
      <c r="AG3" s="40" t="s">
        <v>30</v>
      </c>
      <c r="AH3" s="40" t="s">
        <v>31</v>
      </c>
      <c r="AI3" s="40" t="s">
        <v>32</v>
      </c>
      <c r="AJ3" s="40" t="s">
        <v>33</v>
      </c>
      <c r="AK3" s="40" t="s">
        <v>34</v>
      </c>
      <c r="AL3" s="40" t="s">
        <v>35</v>
      </c>
      <c r="AM3" s="40" t="s">
        <v>36</v>
      </c>
      <c r="AN3" s="40" t="s">
        <v>37</v>
      </c>
      <c r="AO3" s="40" t="s">
        <v>38</v>
      </c>
      <c r="AP3" s="40" t="s">
        <v>39</v>
      </c>
      <c r="AQ3" s="40" t="s">
        <v>40</v>
      </c>
      <c r="AR3" s="40" t="s">
        <v>41</v>
      </c>
      <c r="AS3" s="40" t="s">
        <v>42</v>
      </c>
      <c r="AT3" s="40" t="s">
        <v>43</v>
      </c>
      <c r="AU3" s="40" t="s">
        <v>44</v>
      </c>
      <c r="AV3" s="40" t="s">
        <v>45</v>
      </c>
      <c r="AW3" s="40" t="s">
        <v>46</v>
      </c>
      <c r="AX3" s="40" t="s">
        <v>47</v>
      </c>
      <c r="AY3" s="40" t="s">
        <v>48</v>
      </c>
      <c r="AZ3" s="40" t="s">
        <v>49</v>
      </c>
      <c r="BA3" s="40" t="s">
        <v>50</v>
      </c>
      <c r="BB3" s="40" t="s">
        <v>51</v>
      </c>
      <c r="BC3" s="40" t="s">
        <v>52</v>
      </c>
      <c r="BD3" s="34" t="s">
        <v>53</v>
      </c>
      <c r="BE3" s="34" t="s">
        <v>54</v>
      </c>
      <c r="BF3" s="34" t="s">
        <v>55</v>
      </c>
      <c r="BG3" s="34" t="s">
        <v>56</v>
      </c>
      <c r="BH3" s="34" t="s">
        <v>57</v>
      </c>
      <c r="BI3" s="34" t="s">
        <v>58</v>
      </c>
      <c r="BJ3" s="34" t="s">
        <v>59</v>
      </c>
      <c r="BK3" s="34" t="s">
        <v>60</v>
      </c>
      <c r="BL3" s="34" t="s">
        <v>61</v>
      </c>
      <c r="BM3" s="34" t="s">
        <v>62</v>
      </c>
      <c r="BN3" s="34" t="s">
        <v>63</v>
      </c>
      <c r="BO3" s="34" t="s">
        <v>64</v>
      </c>
      <c r="BP3" s="34" t="s">
        <v>65</v>
      </c>
      <c r="BQ3" s="34" t="s">
        <v>66</v>
      </c>
      <c r="BR3" s="34" t="s">
        <v>67</v>
      </c>
      <c r="BS3" s="34" t="s">
        <v>51</v>
      </c>
      <c r="BT3" s="34" t="s">
        <v>68</v>
      </c>
      <c r="BU3" s="34" t="s">
        <v>69</v>
      </c>
      <c r="BV3" s="34" t="s">
        <v>70</v>
      </c>
      <c r="BW3" s="34" t="s">
        <v>71</v>
      </c>
      <c r="BX3" s="34" t="s">
        <v>72</v>
      </c>
      <c r="BY3" s="34" t="s">
        <v>73</v>
      </c>
      <c r="BZ3" s="34" t="s">
        <v>74</v>
      </c>
      <c r="CA3" s="34" t="s">
        <v>75</v>
      </c>
      <c r="CB3" s="34" t="s">
        <v>76</v>
      </c>
      <c r="CC3" s="34" t="s">
        <v>77</v>
      </c>
      <c r="CD3" s="34" t="s">
        <v>78</v>
      </c>
      <c r="CE3" s="34" t="s">
        <v>79</v>
      </c>
      <c r="CF3" s="34" t="s">
        <v>80</v>
      </c>
      <c r="CG3" s="34" t="s">
        <v>81</v>
      </c>
      <c r="CH3" s="34" t="s">
        <v>82</v>
      </c>
      <c r="CI3" s="34" t="s">
        <v>83</v>
      </c>
      <c r="CJ3" s="34" t="s">
        <v>84</v>
      </c>
      <c r="CK3" s="34" t="s">
        <v>85</v>
      </c>
      <c r="CL3" s="34" t="s">
        <v>86</v>
      </c>
      <c r="CM3" s="34" t="s">
        <v>87</v>
      </c>
      <c r="CN3" s="34" t="s">
        <v>88</v>
      </c>
      <c r="CO3" s="34" t="s">
        <v>89</v>
      </c>
      <c r="CP3" s="34" t="s">
        <v>90</v>
      </c>
      <c r="CQ3" s="34" t="s">
        <v>91</v>
      </c>
      <c r="CR3" s="34" t="s">
        <v>92</v>
      </c>
      <c r="CS3" s="45" t="s">
        <v>63</v>
      </c>
      <c r="CT3" s="47" t="s">
        <v>93</v>
      </c>
      <c r="CU3" s="47" t="s">
        <v>94</v>
      </c>
      <c r="CV3" s="47" t="s">
        <v>95</v>
      </c>
      <c r="CW3" s="47" t="s">
        <v>47</v>
      </c>
      <c r="CX3" s="47" t="s">
        <v>48</v>
      </c>
      <c r="CY3" s="47" t="s">
        <v>49</v>
      </c>
      <c r="CZ3" s="47" t="s">
        <v>96</v>
      </c>
      <c r="DA3" s="47" t="s">
        <v>51</v>
      </c>
      <c r="DB3" s="47" t="s">
        <v>97</v>
      </c>
      <c r="DC3" s="47" t="s">
        <v>98</v>
      </c>
      <c r="DD3" s="47" t="s">
        <v>99</v>
      </c>
      <c r="DE3" s="47" t="s">
        <v>100</v>
      </c>
      <c r="DF3" s="47" t="s">
        <v>101</v>
      </c>
      <c r="DG3" s="47" t="s">
        <v>102</v>
      </c>
      <c r="DH3" s="47" t="s">
        <v>103</v>
      </c>
      <c r="DI3" s="47" t="s">
        <v>104</v>
      </c>
      <c r="DJ3" s="40" t="s">
        <v>105</v>
      </c>
      <c r="DK3" s="40" t="s">
        <v>106</v>
      </c>
      <c r="DL3" s="40" t="s">
        <v>107</v>
      </c>
      <c r="DM3" s="40" t="s">
        <v>108</v>
      </c>
      <c r="DN3" s="40" t="s">
        <v>109</v>
      </c>
      <c r="DO3" s="40" t="s">
        <v>110</v>
      </c>
      <c r="DP3" s="40" t="s">
        <v>111</v>
      </c>
      <c r="DQ3" s="40" t="s">
        <v>112</v>
      </c>
      <c r="DR3" s="40" t="s">
        <v>113</v>
      </c>
      <c r="DS3" s="40" t="s">
        <v>51</v>
      </c>
      <c r="DT3" s="40" t="s">
        <v>114</v>
      </c>
      <c r="DU3" s="40" t="s">
        <v>115</v>
      </c>
      <c r="DV3" s="47" t="s">
        <v>64</v>
      </c>
      <c r="DW3" s="47" t="s">
        <v>65</v>
      </c>
      <c r="DX3" s="47" t="s">
        <v>66</v>
      </c>
      <c r="DY3" s="47" t="s">
        <v>45</v>
      </c>
      <c r="DZ3" s="47" t="s">
        <v>46</v>
      </c>
      <c r="EA3" s="47" t="s">
        <v>93</v>
      </c>
      <c r="EB3" s="47" t="s">
        <v>94</v>
      </c>
      <c r="EC3" s="47" t="s">
        <v>95</v>
      </c>
      <c r="ED3" s="47" t="s">
        <v>47</v>
      </c>
      <c r="EE3" s="47" t="s">
        <v>48</v>
      </c>
      <c r="EF3" s="47" t="s">
        <v>49</v>
      </c>
      <c r="EG3" s="47" t="s">
        <v>116</v>
      </c>
      <c r="EH3" s="40"/>
      <c r="EI3" s="40" t="s">
        <v>117</v>
      </c>
      <c r="EJ3" s="40" t="s">
        <v>98</v>
      </c>
      <c r="EK3" s="34" t="s">
        <v>118</v>
      </c>
      <c r="EL3" s="34" t="s">
        <v>119</v>
      </c>
      <c r="EM3" s="34" t="s">
        <v>120</v>
      </c>
      <c r="EN3" s="34" t="s">
        <v>29</v>
      </c>
      <c r="EO3" s="34" t="s">
        <v>17</v>
      </c>
      <c r="EP3" s="34" t="s">
        <v>121</v>
      </c>
      <c r="EQ3" s="34" t="s">
        <v>25</v>
      </c>
      <c r="ER3" s="34" t="s">
        <v>40</v>
      </c>
      <c r="ES3" s="34" t="s">
        <v>41</v>
      </c>
      <c r="ET3" s="34" t="s">
        <v>122</v>
      </c>
      <c r="EU3" s="34" t="s">
        <v>123</v>
      </c>
      <c r="EV3" s="34" t="s">
        <v>64</v>
      </c>
      <c r="EW3" s="34" t="s">
        <v>65</v>
      </c>
      <c r="EX3" s="34" t="s">
        <v>66</v>
      </c>
      <c r="EY3" s="34" t="s">
        <v>124</v>
      </c>
      <c r="EZ3" s="34" t="s">
        <v>51</v>
      </c>
      <c r="FA3" s="34" t="s">
        <v>68</v>
      </c>
      <c r="FB3" s="34" t="s">
        <v>115</v>
      </c>
      <c r="FC3" s="45" t="s">
        <v>64</v>
      </c>
      <c r="FD3" s="47" t="s">
        <v>65</v>
      </c>
      <c r="FE3" s="47" t="s">
        <v>66</v>
      </c>
      <c r="FF3" s="47" t="s">
        <v>45</v>
      </c>
      <c r="FG3" s="47" t="s">
        <v>46</v>
      </c>
      <c r="FH3" s="47" t="s">
        <v>93</v>
      </c>
      <c r="FI3" s="47" t="s">
        <v>94</v>
      </c>
      <c r="FJ3" s="47" t="s">
        <v>95</v>
      </c>
      <c r="FK3" s="47" t="s">
        <v>47</v>
      </c>
      <c r="FL3" s="47" t="s">
        <v>48</v>
      </c>
      <c r="FM3" s="47" t="s">
        <v>49</v>
      </c>
      <c r="FN3" s="47" t="s">
        <v>125</v>
      </c>
      <c r="FP3" s="34" t="s">
        <v>126</v>
      </c>
      <c r="FQ3" s="34" t="s">
        <v>98</v>
      </c>
      <c r="FR3" s="34" t="s">
        <v>118</v>
      </c>
      <c r="FS3" s="34" t="s">
        <v>119</v>
      </c>
      <c r="FT3" s="34" t="s">
        <v>120</v>
      </c>
      <c r="FU3" s="34" t="s">
        <v>29</v>
      </c>
      <c r="FV3" s="34" t="s">
        <v>17</v>
      </c>
      <c r="FW3" s="34" t="s">
        <v>121</v>
      </c>
      <c r="FX3" s="34" t="s">
        <v>25</v>
      </c>
      <c r="FY3" s="34" t="s">
        <v>40</v>
      </c>
      <c r="FZ3" s="34" t="s">
        <v>41</v>
      </c>
      <c r="GA3" s="34" t="s">
        <v>122</v>
      </c>
      <c r="GB3" s="34" t="s">
        <v>123</v>
      </c>
      <c r="GC3" s="34" t="s">
        <v>64</v>
      </c>
      <c r="GD3" s="34" t="s">
        <v>65</v>
      </c>
      <c r="GE3" s="34" t="s">
        <v>66</v>
      </c>
      <c r="GF3" s="34" t="s">
        <v>127</v>
      </c>
      <c r="GG3" s="34" t="s">
        <v>128</v>
      </c>
      <c r="GH3" s="34" t="s">
        <v>124</v>
      </c>
      <c r="GI3" s="34" t="s">
        <v>51</v>
      </c>
      <c r="GJ3" s="34" t="s">
        <v>68</v>
      </c>
      <c r="GK3" s="34" t="s">
        <v>115</v>
      </c>
      <c r="GL3" s="45" t="s">
        <v>64</v>
      </c>
      <c r="GM3" s="47" t="s">
        <v>65</v>
      </c>
      <c r="GN3" s="47" t="s">
        <v>66</v>
      </c>
      <c r="GO3" s="47" t="s">
        <v>45</v>
      </c>
      <c r="GP3" s="47" t="s">
        <v>46</v>
      </c>
      <c r="GQ3" s="47" t="s">
        <v>93</v>
      </c>
      <c r="GR3" s="47" t="s">
        <v>94</v>
      </c>
      <c r="GS3" s="47" t="s">
        <v>95</v>
      </c>
      <c r="GT3" s="47" t="s">
        <v>47</v>
      </c>
      <c r="GU3" s="47" t="s">
        <v>48</v>
      </c>
      <c r="GV3" s="47" t="s">
        <v>49</v>
      </c>
      <c r="GW3" s="47" t="s">
        <v>125</v>
      </c>
      <c r="GY3" s="34" t="s">
        <v>126</v>
      </c>
      <c r="GZ3" s="34" t="s">
        <v>98</v>
      </c>
      <c r="HA3" s="34" t="s">
        <v>118</v>
      </c>
      <c r="HB3" s="34" t="s">
        <v>119</v>
      </c>
      <c r="HC3" s="34" t="s">
        <v>120</v>
      </c>
      <c r="HD3" s="34" t="s">
        <v>29</v>
      </c>
      <c r="HE3" s="34" t="s">
        <v>17</v>
      </c>
      <c r="HF3" s="34" t="s">
        <v>121</v>
      </c>
      <c r="HG3" s="34" t="s">
        <v>25</v>
      </c>
      <c r="HH3" s="34" t="s">
        <v>40</v>
      </c>
      <c r="HI3" s="34" t="s">
        <v>41</v>
      </c>
      <c r="HJ3" s="34" t="s">
        <v>122</v>
      </c>
      <c r="HK3" s="34" t="s">
        <v>123</v>
      </c>
      <c r="HL3" s="34" t="s">
        <v>64</v>
      </c>
      <c r="HM3" s="34" t="s">
        <v>65</v>
      </c>
      <c r="HN3" s="34" t="s">
        <v>66</v>
      </c>
      <c r="HO3" s="34" t="s">
        <v>127</v>
      </c>
      <c r="HP3" s="34" t="s">
        <v>128</v>
      </c>
      <c r="HQ3" s="34" t="s">
        <v>124</v>
      </c>
      <c r="HR3" s="34" t="s">
        <v>51</v>
      </c>
      <c r="HS3" s="34" t="s">
        <v>129</v>
      </c>
      <c r="HT3" s="34" t="s">
        <v>130</v>
      </c>
      <c r="HU3" s="34" t="s">
        <v>68</v>
      </c>
      <c r="HV3" s="34" t="s">
        <v>115</v>
      </c>
      <c r="HW3" s="45" t="s">
        <v>64</v>
      </c>
      <c r="HX3" s="47" t="s">
        <v>65</v>
      </c>
      <c r="HY3" s="47" t="s">
        <v>66</v>
      </c>
      <c r="HZ3" s="47" t="s">
        <v>45</v>
      </c>
      <c r="IA3" s="47" t="s">
        <v>46</v>
      </c>
      <c r="IB3" s="47" t="s">
        <v>93</v>
      </c>
      <c r="IC3" s="47" t="s">
        <v>94</v>
      </c>
      <c r="ID3" s="47" t="s">
        <v>95</v>
      </c>
      <c r="IE3" s="47" t="s">
        <v>47</v>
      </c>
      <c r="IF3" s="47" t="s">
        <v>48</v>
      </c>
      <c r="IG3" s="47" t="s">
        <v>49</v>
      </c>
      <c r="IH3" s="47" t="s">
        <v>125</v>
      </c>
      <c r="IJ3" s="34" t="s">
        <v>126</v>
      </c>
      <c r="IK3" s="34" t="s">
        <v>98</v>
      </c>
    </row>
    <row r="4" spans="2:245" s="34" customFormat="1" ht="15" customHeight="1">
      <c r="B4" s="37" t="s">
        <v>131</v>
      </c>
      <c r="C4" s="34">
        <f>(2+58/60+16/3600)</f>
        <v>2.971111111111111</v>
      </c>
      <c r="D4" s="34">
        <f>-40-18.6/60</f>
        <v>-40.31</v>
      </c>
      <c r="E4" s="38">
        <f>MOD(360-(C4+((3.075+1.336*SIN(RADIANS(C4))*TAN(RADIANS(D4)))*(OBSERVATIONS!$U$35-36526)/365)/3600)*15,360)</f>
        <v>315.13559890822199</v>
      </c>
      <c r="F4" s="38">
        <f>D4+(20.04*COS(RADIANS(C4*15))*(OBSERVATIONS!$U$35-36526)/365)/3600</f>
        <v>-40.21604655579759</v>
      </c>
      <c r="G4" s="38">
        <f>-17.3*SIN(RADIANS(125-0.05295*(OBSERVATIONS!$U$35-2451545)))-1.4*SIN(RADIANS(200+1.97129*(OBSERVATIONS!$U$35-2451545)))</f>
        <v>-15.507213434549312</v>
      </c>
      <c r="H4" s="38">
        <f>9.4*COS(RADIANS(125-0.05295*(OBSERVATIONS!$U$35-2451545)))+0.7*COS(RADIANS(200+1.97129*(OBSERVATIONS!$U$35-2451545)))</f>
        <v>-2.1041300782981658</v>
      </c>
      <c r="I4" s="41">
        <f t="shared" ref="I4" si="0">E4+(0.9175+0.3978*SIN(RADIANS(C4*15)*TAN(RADIANS(D4)))*G4-COS(RADIANS(C4*15))*TAN(RADIANS(D4))*H4)/3600</f>
        <v>315.13655095767234</v>
      </c>
      <c r="J4" s="41">
        <f t="shared" ref="J4" si="1">F4+(0.3978*COS(RADIANS(C4*15))*G4+SIN(RADIANS(C4))*H4)/3600</f>
        <v>-40.217297640774731</v>
      </c>
      <c r="K4" s="39">
        <f>-36525+OBSERVATIONS!$U$35-1.5+(OBSERVATIONS!U37+OBSERVATIONS!X37/60+OBSERVATIONS!AA37/3600)/24</f>
        <v>8646.5069444444453</v>
      </c>
      <c r="L4" s="39">
        <f t="shared" ref="L4" si="2">360-MOD(280.46061837+360.98564736629*(K4),360)</f>
        <v>14.632584229577333</v>
      </c>
      <c r="M4" s="34">
        <f t="shared" ref="M4" si="3">K4/36525</f>
        <v>0.23672845843790405</v>
      </c>
      <c r="N4" s="40">
        <f t="shared" ref="N4" si="4">MOD(125.04452-1934.136261*M4,360)</f>
        <v>27.179424524618298</v>
      </c>
      <c r="O4" s="40">
        <f t="shared" ref="O4" si="5">MOD(280.4665+36000.7698*M4,360)</f>
        <v>162.87323733185258</v>
      </c>
      <c r="P4" s="40">
        <f t="shared" ref="P4" si="6">MOD(218.3165+481267.8813*M4,360)</f>
        <v>28.120135825185571</v>
      </c>
      <c r="Q4" s="40">
        <f t="shared" ref="Q4" si="7">MOD(23.4393-0.0000003563*K4,360)</f>
        <v>23.436219249575693</v>
      </c>
      <c r="R4" s="40">
        <f t="shared" ref="R4" si="8">-(17.2*SIN(RADIANS(N4))-1.32*SIN(RADIANS(2*O4))-0.23*SIN(RADIANS(2*P4))+0.21*SIN(RADIANS(2*N4)))</f>
        <v>-8.5790068323900694</v>
      </c>
      <c r="S4" s="40">
        <f t="shared" ref="S4" si="9">9.2*COS(RADIANS(N4))+0.57*COS(RADIANS(2*O4))+0.1*COS(RADIANS(2*P4))-0.09*COS(RADIANS(2*N4))</f>
        <v>8.658404216867515</v>
      </c>
      <c r="T4" s="40">
        <f t="shared" ref="T4" si="10">S4+Q4</f>
        <v>32.09462346644321</v>
      </c>
      <c r="U4" s="40">
        <f t="shared" ref="U4" si="11">R4*COS(RADIANS(T4))/3600</f>
        <v>-2.0188590321701199E-3</v>
      </c>
      <c r="V4" s="40">
        <f t="shared" ref="V4" si="12">MOD(360-L4-U4,360)</f>
        <v>345.36943462945482</v>
      </c>
      <c r="W4" s="40">
        <f t="shared" ref="W4" si="13">MOD(280.461+0.9856474*K4,360)</f>
        <v>162.86808887361076</v>
      </c>
      <c r="X4" s="40">
        <f t="shared" ref="X4" si="14">MOD(357.528+35999.05*M4,360)</f>
        <v>239.52761172903047</v>
      </c>
      <c r="Y4" s="40">
        <f t="shared" ref="Y4" si="15">1.915*SIN(RADIANS(X4))+0.02*SIN(RADIANS(2*X4))</f>
        <v>-1.6330050011860657</v>
      </c>
      <c r="Z4" s="40">
        <f t="shared" ref="Z4" si="16">W4+Y4</f>
        <v>161.2350838724247</v>
      </c>
      <c r="AA4" s="40">
        <f t="shared" ref="AA4" si="17">-Y4+2.466*SIN(RADIANS(2*Z4))-0.053*SIN(RADIANS(4*Z4))</f>
        <v>0.18198920057984178</v>
      </c>
      <c r="AB4" s="40">
        <f t="shared" ref="AB4" si="18">Q4</f>
        <v>23.436219249575693</v>
      </c>
      <c r="AC4" s="40">
        <f t="shared" ref="AC4" si="19">DEGREES(ASIN(SIN(RADIANS(AB4))*SIN(RADIANS(Z4))))</f>
        <v>7.3507716188661876</v>
      </c>
      <c r="AD4" s="40">
        <f t="shared" ref="AD4" si="20">COS(RADIANS(AB4))*SIN(RADIANS(Z4))</f>
        <v>0.29514797073872506</v>
      </c>
      <c r="AE4" s="40">
        <f t="shared" ref="AE4" si="21">COS(RADIANS(Z4))</f>
        <v>-0.94684641529106772</v>
      </c>
      <c r="AF4" s="40">
        <f t="shared" ref="AF4" si="22">MOD(IF(AE4&lt;0,DEGREES(ATAN(AD4/AE4))+180,DEGREES(ATAN(AD4/AE4))),360)</f>
        <v>162.68686418581655</v>
      </c>
      <c r="AG4" s="40">
        <f t="shared" ref="AG4" si="23">180-L4</f>
        <v>165.36741577042267</v>
      </c>
      <c r="AH4" s="40">
        <f t="shared" ref="AH4" si="24">MOD(AG4-AF4+180,360)</f>
        <v>182.68055158460612</v>
      </c>
      <c r="AI4" s="40">
        <v>0</v>
      </c>
      <c r="AJ4" s="44">
        <v>0</v>
      </c>
      <c r="AK4" s="44">
        <f t="shared" ref="AK4" si="25">RADIANS(282.9404+0.0000470935*(K4+1.5))</f>
        <v>4.9453496806050357</v>
      </c>
      <c r="AL4" s="40">
        <v>1</v>
      </c>
      <c r="AM4" s="44">
        <f t="shared" ref="AM4" si="26">0.016709-0.000000001151*(K4+1.5)</f>
        <v>1.6699046144006947E-2</v>
      </c>
      <c r="AN4" s="44">
        <f t="shared" ref="AN4" si="27">MOD(RADIANS(356.047+0.9856002585*(K4+1.5)),2*PI())</f>
        <v>4.1804977956456639</v>
      </c>
      <c r="AO4" s="44">
        <f>AN4+AM4*SIN(AN4)*(1+AM4*COS(AN4))</f>
        <v>4.1662276202184216</v>
      </c>
      <c r="AP4" s="44">
        <f t="shared" ref="AP4" si="28">RADIANS(MOD(23.4393-0.0000003563*(K4+1.5),360))</f>
        <v>0.40903918079645835</v>
      </c>
      <c r="AQ4" s="44">
        <f t="shared" ref="AQ4" si="29">COS(AO4)-AM4</f>
        <v>-0.53610989758779315</v>
      </c>
      <c r="AR4" s="44">
        <f t="shared" ref="AR4" si="30">SQRT(1-AM4*AM4)*SIN(AO4)</f>
        <v>-0.85440549023184198</v>
      </c>
      <c r="AS4" s="40">
        <f t="shared" ref="AS4" si="31">MOD(RADIANS(IF(AQ4&gt;0,DEGREES(ATAN(AR4/AQ4)),IF(AQ4=0,IF(AR4&lt;0,-90,90),DEGREES(ATAN(AR4/AQ4))+180))),2*PI())</f>
        <v>4.1520187447194212</v>
      </c>
      <c r="AT4" s="44">
        <f t="shared" ref="AT4" si="32">SQRT(AQ4*AQ4+AR4*AR4)</f>
        <v>1.0086736657759576</v>
      </c>
      <c r="AU4" s="40">
        <f t="shared" ref="AU4" si="33">AS4+AK4</f>
        <v>9.0973684253244578</v>
      </c>
      <c r="AV4" s="44">
        <f t="shared" ref="AV4" si="34">AT4*COS(AU4)</f>
        <v>-0.95509149878219857</v>
      </c>
      <c r="AW4" s="40">
        <f t="shared" ref="AW4" si="35">AT4*SIN(AU4)</f>
        <v>0.32438062979142546</v>
      </c>
      <c r="AX4" s="44">
        <f t="shared" ref="AX4" si="36">AV4</f>
        <v>-0.95509149878219857</v>
      </c>
      <c r="AY4" s="40">
        <f t="shared" ref="AY4" si="37">AW4*COS(AP4)</f>
        <v>0.29762032778366598</v>
      </c>
      <c r="AZ4" s="40">
        <f t="shared" ref="AZ4" si="38">AW4*SIN(AP4)</f>
        <v>0.12901524512174922</v>
      </c>
      <c r="BA4" s="40">
        <f t="shared" ref="BA4" si="39">DEGREES(MOD(RADIANS(IF(AX4&gt;0,DEGREES(ATAN(AY4/AX4)),IF(AX4=0,IF(AY4&lt;0,-90,90),DEGREES(ATAN(AY4/AX4))+180))),PI()))</f>
        <v>162.69221034833251</v>
      </c>
      <c r="BB4" s="40">
        <f t="shared" ref="BB4" si="40">SQRT(AX4*AX4+AY4*AY4)</f>
        <v>1.0003887397187572</v>
      </c>
      <c r="BC4" s="40">
        <f t="shared" ref="BC4" si="41">DEGREES(RADIANS(IF(BB4&gt;0,DEGREES(ATAN(AZ4/BB4)),IF(BB4=0,IF(AZ4&lt;0,-90,90),DEGREES(ATAN(AZ4/BB4))+180))))</f>
        <v>7.3485951039444348</v>
      </c>
      <c r="BD4" s="41">
        <f t="shared" ref="BD4" si="42">RADIANS(125.1228-0.0529538083*(K4+1.5))</f>
        <v>-5.8088415017931085</v>
      </c>
      <c r="BE4" s="34">
        <f t="shared" ref="BE4" si="43">RADIANS(5.1454)</f>
        <v>8.9804171332116239E-2</v>
      </c>
      <c r="BF4" s="41">
        <f t="shared" ref="BF4" si="44">RADIANS(318.0634+0.1643573223*(K4+1.5))</f>
        <v>30.358722394614272</v>
      </c>
      <c r="BG4" s="34">
        <f t="shared" ref="BG4" si="45">60.2666</f>
        <v>60.266599999999997</v>
      </c>
      <c r="BH4" s="41">
        <f t="shared" ref="BH4" si="46">0.0549</f>
        <v>5.4899999999999997E-2</v>
      </c>
      <c r="BI4" s="41">
        <f t="shared" ref="BI4" si="47">MOD(RADIANS(115.3654+13.0649929509*(K4+1.5)),2*PI())</f>
        <v>1.0736422302603756</v>
      </c>
      <c r="BJ4" s="41">
        <f t="shared" ref="BJ4" si="48">BI4+BH4*SIN(BI4)*(1+BH4*COS(BI4))</f>
        <v>1.1231596691737282</v>
      </c>
      <c r="BK4" s="41">
        <f t="shared" ref="BK4" si="49">BG4*(COS(BJ4)-BH4)</f>
        <v>22.776933200229077</v>
      </c>
      <c r="BL4" s="41">
        <f t="shared" ref="BL4" si="50">BG4*(SQRT(1-BH4*BH4)*SIN(BJ4))</f>
        <v>54.246750749772318</v>
      </c>
      <c r="BM4" s="34">
        <f t="shared" ref="BM4" si="51">MOD(RADIANS(IF(BK4&gt;0,DEGREES(ATAN(BL4/BK4)),IF(BK4=0,IF(BL4&lt;0,-90,90),DEGREES(ATAN(BL4/BK4))+180))),2*PI())</f>
        <v>1.1732733625879865</v>
      </c>
      <c r="BN4" s="41">
        <f t="shared" ref="BN4" si="52">SQRT(BK4*BK4+BL4*BL4)</f>
        <v>58.834502232241427</v>
      </c>
      <c r="BO4" s="41">
        <f t="shared" ref="BO4" si="53">BN4*(COS(BD4)*COS(BM4+BF4)-SIN(BD4)*SIN(BM4+BF4)*COS(BE4))</f>
        <v>48.886998249306274</v>
      </c>
      <c r="BP4" s="41">
        <f t="shared" ref="BP4" si="54">BN4*(SIN(BD4)*COS(BM4+BF4)+COS(BD4)*SIN(BM4+BF4)*COS(BE4))</f>
        <v>32.728988019319623</v>
      </c>
      <c r="BQ4" s="41">
        <f t="shared" ref="BQ4" si="55">BN4*(SIN(BM4+BF4)*SIN(BE4))</f>
        <v>0.61106326937566813</v>
      </c>
      <c r="BR4" s="34">
        <f t="shared" ref="BR4" si="56">DEGREES(RADIANS(IF(BO4&gt;0,DEGREES(ATAN(BP4/BO4)),IF(BO4=0,IF(BP4&lt;0,-90,90),DEGREES(ATAN(BP4/BO4))+180))))</f>
        <v>33.801614683899089</v>
      </c>
      <c r="BS4" s="34">
        <f t="shared" ref="BS4" si="57">SQRT(BO4*BO4+BP4*BP4)</f>
        <v>58.831328852886209</v>
      </c>
      <c r="BT4" s="34">
        <f t="shared" ref="BT4" si="58">DEGREES(RADIANS(IF(BS4&gt;0,DEGREES(ATAN(BQ4/BS4)),IF(BS4=0,IF(BQ4&lt;0,-90,90),DEGREES(ATAN(BQ4/BS4))+180))))</f>
        <v>0.59509258189332248</v>
      </c>
      <c r="BU4" s="34">
        <f t="shared" ref="BU4" si="59">AN4+AK4</f>
        <v>9.1258474762506996</v>
      </c>
      <c r="BV4" s="34">
        <f t="shared" ref="BV4" si="60">BI4+BF4+BD4</f>
        <v>25.62352312308154</v>
      </c>
      <c r="BW4" s="34">
        <f t="shared" ref="BW4" si="61">BV4-BU4</f>
        <v>16.497675646830842</v>
      </c>
      <c r="BX4" s="41">
        <f t="shared" ref="BX4" si="62">BV4-BD4</f>
        <v>31.432364624874648</v>
      </c>
      <c r="BY4" s="34">
        <f t="shared" ref="BY4" si="63">-1.274*SIN(BI4-2*BW4)</f>
        <v>0.61724298664154487</v>
      </c>
      <c r="BZ4" s="41">
        <f t="shared" ref="BZ4" si="64">BY4+0.658*SIN(2*BW4)</f>
        <v>1.2752184928024053</v>
      </c>
      <c r="CA4" s="41">
        <f t="shared" ref="CA4" si="65">BZ4-0.186*SIN(AN4)</f>
        <v>1.4355224944448675</v>
      </c>
      <c r="CB4" s="41">
        <f t="shared" ref="CB4" si="66">CA4-0.059*SIN(2*BI4-2*BW4)</f>
        <v>1.403790589593765</v>
      </c>
      <c r="CC4" s="41">
        <f t="shared" ref="CC4" si="67">CB4-0.057*SIN(BI4-2*BW4+AN4)</f>
        <v>1.432759419500631</v>
      </c>
      <c r="CD4" s="41">
        <f t="shared" ref="CD4" si="68">CC4+0.053*SIN(BI4+2*BW4)</f>
        <v>1.4576336192427239</v>
      </c>
      <c r="CE4" s="41">
        <f t="shared" ref="CE4" si="69">CD4+0.046*SIN(2*BW4-AN4)</f>
        <v>1.4339628655908268</v>
      </c>
      <c r="CF4" s="41">
        <f t="shared" ref="CF4" si="70">CE4+0.041*SIN(BI4-AN4)</f>
        <v>1.4325389313834269</v>
      </c>
      <c r="CG4" s="41">
        <f t="shared" ref="CG4" si="71">CF4-0.035*SIN(BW4)</f>
        <v>1.4573942094625765</v>
      </c>
      <c r="CH4" s="41">
        <f t="shared" ref="CH4" si="72">CG4-0.031*SIN(BI4+AN4)</f>
        <v>1.483955229294813</v>
      </c>
      <c r="CI4" s="41">
        <f t="shared" ref="CI4" si="73">CH4-0.015*SIN(2*BX4-2*BW4)</f>
        <v>1.4989508198616108</v>
      </c>
      <c r="CJ4" s="41">
        <f t="shared" ref="CJ4" si="74">CI4+0.011*SIN(BI4-4*BW4)</f>
        <v>1.4893744102190467</v>
      </c>
      <c r="CK4" s="34">
        <f t="shared" ref="CK4" si="75">RADIANS(CJ4+BR4)</f>
        <v>0.61594395597777252</v>
      </c>
      <c r="CL4" s="41">
        <f t="shared" ref="CL4" si="76">-0.173*SIN(BX4-2*BW4)</f>
        <v>0.17299472432622973</v>
      </c>
      <c r="CM4" s="41">
        <f t="shared" ref="CM4" si="77">CL4-0.055*SIN(BI4-BX4-2*BW4)</f>
        <v>0.20042905458695329</v>
      </c>
      <c r="CN4" s="41">
        <f t="shared" ref="CN4" si="78">CM4-0.046*SIN(BI4+BX4-2*BW4)</f>
        <v>0.22205123331510784</v>
      </c>
      <c r="CO4" s="41">
        <f t="shared" ref="CO4" si="79">CN4+0.033*SIN(BX4+2*BW4)</f>
        <v>0.25504086640597928</v>
      </c>
      <c r="CP4" s="41">
        <f t="shared" ref="CP4" si="80">CO4+0.017*SIN(2*BI4+BX4)</f>
        <v>0.26913912089499603</v>
      </c>
      <c r="CQ4" s="34">
        <f t="shared" ref="CQ4" si="81">RADIANS(CP4+BT4)</f>
        <v>1.5083688713773217E-2</v>
      </c>
      <c r="CR4" s="41">
        <f t="shared" ref="CR4" si="82">BN4-0.58*COS(BI4-2*BW4)</f>
        <v>58.327120776190895</v>
      </c>
      <c r="CS4" s="41">
        <f t="shared" ref="CS4" si="83">CR4-0.46*COS(2*BW4)</f>
        <v>58.331089805187226</v>
      </c>
      <c r="CT4" s="41">
        <f t="shared" ref="CT4" si="84">CS4*COS(CK4)*COS(CQ4)</f>
        <v>47.606079455433253</v>
      </c>
      <c r="CU4" s="41">
        <f t="shared" ref="CU4" si="85">CS4*SIN(CK4)*COS(CQ4)</f>
        <v>33.695743988623114</v>
      </c>
      <c r="CV4" s="41">
        <f t="shared" ref="CV4" si="86">CS4*SIN(CQ4)</f>
        <v>0.87981463784231151</v>
      </c>
      <c r="CW4" s="40">
        <f t="shared" ref="CW4" si="87">CT4</f>
        <v>47.606079455433253</v>
      </c>
      <c r="CX4" s="40">
        <f t="shared" ref="CX4" si="88">CU4*COS(AP4)-CV4*SIN(AP4)</f>
        <v>30.566032490968624</v>
      </c>
      <c r="CY4" s="44">
        <f t="shared" ref="CY4" si="89">CU4*SIN(AP4)+CV4*COS(AP4)</f>
        <v>14.208972324022692</v>
      </c>
      <c r="CZ4" s="40">
        <f t="shared" ref="CZ4" si="90">DEGREES(RADIANS(IF(CW4&gt;0,DEGREES(ATAN(CX4/CW4)),IF(CW4=0,IF(CX4&lt;0,-90,90),DEGREES(ATAN(CX4/CW4))+180))))</f>
        <v>32.702959561951239</v>
      </c>
      <c r="DA4" s="40">
        <f t="shared" ref="DA4" si="91">SQRT(CW4*CW4+CX4*CX4)</f>
        <v>56.57403241201721</v>
      </c>
      <c r="DB4" s="40">
        <f t="shared" ref="DB4" si="92">DEGREES(RADIANS(IF(DA4&gt;0,DEGREES(ATAN(CY4/DA4)),IF(DA4=0,IF(CY4&lt;0,-90,90),DEGREES(ATAN(CY4/DA4))+180))))</f>
        <v>14.098625879951598</v>
      </c>
      <c r="DC4" s="40">
        <f t="shared" ref="DC4" si="93">MOD(AG4-CZ4-180,360)</f>
        <v>312.66445620847139</v>
      </c>
      <c r="DD4" s="40">
        <f t="shared" ref="DD4" si="94">RADIANS(49.5574+0.0000211081*(K4+1.5))</f>
        <v>0.868125775023742</v>
      </c>
      <c r="DE4" s="40">
        <f t="shared" ref="DE4" si="95">RADIANS(1.8497-0.0000000178*(K4+1.5))</f>
        <v>3.228066850986961E-2</v>
      </c>
      <c r="DF4" s="40">
        <f t="shared" ref="DF4" si="96">RADIANS(286.5016+0.0000292961*(K4+1.5))</f>
        <v>5.004818074091661</v>
      </c>
      <c r="DG4" s="40">
        <f t="shared" ref="DG4" si="97">1.523688</f>
        <v>1.5236879999999999</v>
      </c>
      <c r="DH4" s="40">
        <f t="shared" ref="DH4" si="98">0.093405+0.000000002516*(K4+1.5)</f>
        <v>9.3426758385472222E-2</v>
      </c>
      <c r="DI4" s="40">
        <f t="shared" ref="DI4" si="99">MOD(RADIANS(18.6021+0.5240207766*(K4+1.5)),2*PI())</f>
        <v>4.0201462835038058</v>
      </c>
      <c r="DJ4" s="44">
        <f t="shared" ref="DJ4" si="100">DI4+DH4*SIN(DI4)*(1+DH4*COS(DI4))</f>
        <v>3.9525135743219888</v>
      </c>
      <c r="DK4" s="44">
        <f t="shared" ref="DK4" si="101">DG4*(COS(DJ4)-DH4)</f>
        <v>-1.1919169568151304</v>
      </c>
      <c r="DL4" s="44">
        <f t="shared" ref="DL4" si="102">DG4*(SQRT(1-DH4*DH4)*SIN(DJ4))</f>
        <v>-1.0997235584560596</v>
      </c>
      <c r="DM4" s="40">
        <f t="shared" ref="DM4" si="103">MOD(RADIANS(IF(DK4&gt;0,DEGREES(ATAN(DL4/DK4)),IF(DK4=0,IF(DL4&lt;0,-90,90),DEGREES(ATAN(DL4/DK4))+180))),2*PI())</f>
        <v>3.8867821942376874</v>
      </c>
      <c r="DN4" s="44">
        <f t="shared" ref="DN4" si="104">SQRT(DK4*DK4+DL4*DL4)</f>
        <v>1.6217453366563752</v>
      </c>
      <c r="DO4" s="44">
        <f t="shared" ref="DO4" si="105">DN4*(COS(DD4)*COS(DM4+DF4)-SIN(DD4)*SIN(DM4+DF4)*COS(DE4))</f>
        <v>-1.5312929853844726</v>
      </c>
      <c r="DP4" s="44">
        <f t="shared" ref="DP4" si="106">DN4*(SIN(DD4)*COS(DM4+DF4)+COS(DD4)*SIN(DM4+DF4)*COS(DE4))</f>
        <v>-0.53337787626325961</v>
      </c>
      <c r="DQ4" s="44">
        <f t="shared" ref="DQ4" si="107">DN4*(SIN(DM4+DF4)*SIN(DE4))</f>
        <v>2.6603965717630466E-2</v>
      </c>
      <c r="DR4" s="40">
        <f t="shared" ref="DR4" si="108">DEGREES(RADIANS(IF(DO4&gt;0,DEGREES(ATAN(DP4/DO4)),IF(DO4=0,IF(DP4&lt;0,-90,90),DEGREES(ATAN(DP4/DO4))+180))))+DU4</f>
        <v>199.20436003466054</v>
      </c>
      <c r="DS4" s="40">
        <f t="shared" ref="DS4" si="109">SQRT(DO4*DO4+DP4*DP4)</f>
        <v>1.6215271092321568</v>
      </c>
      <c r="DT4" s="40">
        <f t="shared" ref="DT4" si="110">DEGREES(RADIANS(IF(DS4&gt;0,DEGREES(ATAN(DQ4/DS4)),IF(DS4=0,IF(DQ4&lt;0,-90,90),DEGREES(ATAN(DQ4/DS4))+180))))</f>
        <v>0.93995234303973585</v>
      </c>
      <c r="DU4" s="44">
        <f>0.0000382394*(365.2422*((2000-(36526-OBSERVATIONS!$U$35)/365)-2000)-($K4+1.5))</f>
        <v>1.8090574842955304E-4</v>
      </c>
      <c r="DV4" s="44">
        <f t="shared" ref="DV4" si="111">DN4*COS(RADIANS(DR4))*COS(RADIANS(DT4))</f>
        <v>-1.5312913012890284</v>
      </c>
      <c r="DW4" s="44">
        <f t="shared" ref="DW4" si="112">DN4*SIN(RADIANS(DR4))*COS(RADIANS(DT4))</f>
        <v>-0.53338271116652181</v>
      </c>
      <c r="DX4" s="44">
        <f t="shared" ref="DX4" si="113">DN4*SIN(RADIANS(DT4))</f>
        <v>2.6603965717630466E-2</v>
      </c>
      <c r="DY4" s="47">
        <f t="shared" ref="DY4" si="114">$AT4*COS($AU4+RADIANS(DU4))</f>
        <v>-0.95509252297714498</v>
      </c>
      <c r="DZ4" s="47">
        <f t="shared" ref="DZ4" si="115">$AT4*SIN($AU4+RADIANS(DU4))</f>
        <v>0.32437761418300759</v>
      </c>
      <c r="EA4" s="47">
        <f t="shared" ref="EA4" si="116">DV4+DY4</f>
        <v>-2.4863838242661735</v>
      </c>
      <c r="EB4" s="40">
        <f t="shared" ref="EB4" si="117">DW4+DZ4</f>
        <v>-0.20900509698351422</v>
      </c>
      <c r="EC4" s="40">
        <f t="shared" ref="EC4" si="118">DX4</f>
        <v>2.6603965717630466E-2</v>
      </c>
      <c r="ED4" s="40">
        <f t="shared" ref="ED4" si="119">EA4</f>
        <v>-2.4863838242661735</v>
      </c>
      <c r="EE4" s="44">
        <f t="shared" ref="EE4" si="120">EB4*COS(RADIANS($AB4))-EC4*SIN(RADIANS($AB4))</f>
        <v>-0.20234402558345274</v>
      </c>
      <c r="EF4" s="40">
        <f t="shared" ref="EF4" si="121">EB4*SIN(RADIANS($AB4))+EC4*COS(RADIANS($AB4))</f>
        <v>-5.8717943319534449E-2</v>
      </c>
      <c r="EG4" s="40">
        <f t="shared" ref="EG4" si="122">DEGREES(RADIANS(IF(ED4&gt;0,DEGREES(ATAN(EE4/ED4)),IF(ED4=0,IF(EE4&lt;0,-90,90),DEGREES(ATAN(EE4/ED4))+180))))</f>
        <v>184.65252625235757</v>
      </c>
      <c r="EH4" s="40">
        <f t="shared" ref="EH4" si="123">SQRT(ED4*ED4+EE4*EE4)</f>
        <v>2.4946037012443076</v>
      </c>
      <c r="EI4" s="40">
        <f t="shared" ref="EI4" si="124">DEGREES(RADIANS(IF(EH4&gt;0,DEGREES(ATAN(EF4/EH4)),IF(EH4=0,IF(EF4&lt;0,-90,90),DEGREES(ATAN(EF4/EH4))+180))))</f>
        <v>-1.3483781913820179</v>
      </c>
      <c r="EJ4" s="40">
        <f t="shared" ref="EJ4" si="125">MOD($AG4-EG4-180,360)</f>
        <v>160.71488951806509</v>
      </c>
      <c r="EK4" s="41">
        <f t="shared" ref="EK4" si="126">RADIANS(76.6799+0.000024659*(K4+1.5))</f>
        <v>1.3420386607304311</v>
      </c>
      <c r="EL4" s="41">
        <f t="shared" ref="EL4" si="127">RADIANS(3.3946+0.0000000275*(K4+1.5))</f>
        <v>5.9251097533559699E-2</v>
      </c>
      <c r="EM4" s="41">
        <f t="shared" ref="EM4" si="128">RADIANS(54.891+0.0000138374*(K4+1.5))</f>
        <v>0.96011724421573652</v>
      </c>
      <c r="EN4" s="41">
        <f t="shared" ref="EN4" si="129">0.72333</f>
        <v>0.72333000000000003</v>
      </c>
      <c r="EO4" s="34">
        <f t="shared" ref="EO4" si="130">0.006773-0.000000001302*(K4+1.5)</f>
        <v>6.7617402949583334E-3</v>
      </c>
      <c r="EP4" s="41">
        <f t="shared" ref="EP4" si="131">MOD(RADIANS(48.0052+1.6021302244*(K4+1.5)),2*PI())</f>
        <v>3.8962469559309199</v>
      </c>
      <c r="EQ4" s="41">
        <f t="shared" ref="EQ4" si="132">EP4+EO4*SIN(EP4)*(1+EO4*COS(EP4))</f>
        <v>3.8916377319155111</v>
      </c>
      <c r="ER4" s="41">
        <f t="shared" ref="ER4" si="133">EN4*(COS(EQ4)-EO4)</f>
        <v>-0.53412125273445576</v>
      </c>
      <c r="ES4" s="41">
        <f t="shared" ref="ES4" si="134">EN4*(SQRT(1-EO4*EO4)*SIN(EQ4))</f>
        <v>-0.4930623495328606</v>
      </c>
      <c r="ET4" s="34">
        <f t="shared" ref="ET4" si="135">MOD(RADIANS(IF(ER4&gt;0,DEGREES(ATAN(ES4/ER4)),IF(ER4=0,IF(ES4&lt;0,-90,90),DEGREES(ATAN(ES4/ER4))+180))),2*PI())</f>
        <v>3.8870397738875671</v>
      </c>
      <c r="EU4" s="41">
        <f t="shared" ref="EU4" si="136">SQRT(ER4*ER4+ES4*ES4)</f>
        <v>0.72690851773073151</v>
      </c>
      <c r="EV4" s="41">
        <f t="shared" ref="EV4" si="137">EU4*(COS(EK4)*COS(ET4+EM4)-SIN(EK4)*SIN(ET4+EM4)*COS(EL4))</f>
        <v>0.72246900069970987</v>
      </c>
      <c r="EW4" s="41">
        <f t="shared" ref="EW4" si="138">EU4*(SIN(EK4)*COS(ET4+EM4)+COS(EK4)*SIN(ET4+EM4)*COS(EL4))</f>
        <v>-6.7934670053411222E-2</v>
      </c>
      <c r="EX4" s="41">
        <f t="shared" ref="EX4" si="139">EU4*(SIN(ET4+EM4)*SIN(EL4))</f>
        <v>-4.2654622049503176E-2</v>
      </c>
      <c r="EY4" s="34">
        <f t="shared" ref="EY4" si="140">DEGREES(RADIANS(IF(EV4&gt;0,DEGREES(ATAN(EW4/EV4)),IF(EV4=0,IF(EW4&lt;0,-90,90),DEGREES(ATAN(EW4/EV4))+180))))+FB4</f>
        <v>-5.3716182973418238</v>
      </c>
      <c r="EZ4" s="34">
        <f t="shared" ref="EZ4" si="141">SQRT(EV4*EV4+EW4*EW4)</f>
        <v>0.72565596281385525</v>
      </c>
      <c r="FA4" s="34">
        <f t="shared" ref="FA4" si="142">DEGREES(RADIANS(IF(EZ4&gt;0,DEGREES(ATAN(EX4/EZ4)),IF(EZ4=0,IF(EX4&lt;0,-90,90),DEGREES(ATAN(EX4/EZ4))+180))))</f>
        <v>-3.3640196279223997</v>
      </c>
      <c r="FB4" s="41">
        <f>0.0000382394*(365.2422*((2000-(36526-OBSERVATIONS!$U$35)/365)-2000)-($K4+1.5))</f>
        <v>1.8090574842955304E-4</v>
      </c>
      <c r="FC4" s="41">
        <f t="shared" ref="FC4" si="143">EU4*COS(RADIANS(EY4))*COS(RADIANS(FA4))</f>
        <v>0.72246921519310014</v>
      </c>
      <c r="FD4" s="41">
        <f t="shared" ref="FD4" si="144">EU4*SIN(RADIANS(EY4))*COS(RADIANS(FA4))</f>
        <v>-6.7932388928766407E-2</v>
      </c>
      <c r="FE4" s="41">
        <f t="shared" ref="FE4" si="145">EU4*SIN(RADIANS(FA4))</f>
        <v>-4.2654622049503176E-2</v>
      </c>
      <c r="FF4" s="45">
        <f t="shared" ref="FF4" si="146">$AT4*COS($AU4+RADIANS(FB4))</f>
        <v>-0.95509252297714498</v>
      </c>
      <c r="FG4" s="45">
        <f t="shared" ref="FG4" si="147">$AT4*SIN($AU4+RADIANS(FB4))</f>
        <v>0.32437761418300759</v>
      </c>
      <c r="FH4" s="45">
        <f t="shared" ref="FH4" si="148">FC4+FF4</f>
        <v>-0.23262330778404483</v>
      </c>
      <c r="FI4" s="34">
        <f t="shared" ref="FI4" si="149">FD4+FG4</f>
        <v>0.25644522525424118</v>
      </c>
      <c r="FJ4" s="34">
        <f t="shared" ref="FJ4" si="150">FE4</f>
        <v>-4.2654622049503176E-2</v>
      </c>
      <c r="FK4" s="34">
        <f t="shared" ref="FK4" si="151">FH4</f>
        <v>-0.23262330778404483</v>
      </c>
      <c r="FL4" s="41">
        <f t="shared" ref="FL4" si="152">FI4*COS(RADIANS($AB4))-FJ4*SIN(RADIANS($AB4))</f>
        <v>0.2522542988477115</v>
      </c>
      <c r="FM4" s="34">
        <f t="shared" ref="FM4" si="153">FI4*SIN(RADIANS($AB4))+FJ4*COS(RADIANS($AB4))</f>
        <v>6.2859677462853064E-2</v>
      </c>
      <c r="FN4" s="49">
        <f t="shared" ref="FN4" si="154">DEGREES(RADIANS(IF(FK4&gt;0,DEGREES(ATAN(FL4/FK4)),IF(FK4=0,IF(FL4&lt;0,-90,90),DEGREES(ATAN(FL4/FK4))+180))))</f>
        <v>132.68156135768194</v>
      </c>
      <c r="FO4" s="34">
        <f t="shared" ref="FO4" si="155">SQRT(FK4*FK4+FL4*FL4)</f>
        <v>0.34314112929163854</v>
      </c>
      <c r="FP4" s="49">
        <f t="shared" ref="FP4" si="156">DEGREES(RADIANS(IF(FO4&gt;0,DEGREES(ATAN(FM4/FO4)),IF(FO4=0,IF(FM4&lt;0,-90,90),DEGREES(ATAN(FM4/FO4))+180))))</f>
        <v>10.38085637100431</v>
      </c>
      <c r="FQ4" s="34">
        <f t="shared" ref="FQ4" si="157">MOD($AG4-FN4-180,360)</f>
        <v>212.68585441274072</v>
      </c>
      <c r="FR4" s="41">
        <f t="shared" ref="FR4" si="158">RADIANS(100.4542+0.0000276854*(K4+1.5))</f>
        <v>1.757435266387612</v>
      </c>
      <c r="FS4" s="41">
        <f t="shared" ref="FS4" si="159">RADIANS(1.303-0.0000001557*(K4+1.5))</f>
        <v>2.2718139387937708E-2</v>
      </c>
      <c r="FT4" s="41">
        <f t="shared" ref="FT4" si="160">RADIANS(273.8777+0.0000164505*(K4+1.5))</f>
        <v>4.7825505886637378</v>
      </c>
      <c r="FU4" s="41">
        <f t="shared" ref="FU4" si="161">5.20256</f>
        <v>5.2025600000000001</v>
      </c>
      <c r="FV4" s="41">
        <f t="shared" ref="FV4" si="162">0.048498+0.000000004469*(K4+1.5)</f>
        <v>4.8536647943034722E-2</v>
      </c>
      <c r="FW4" s="41">
        <f t="shared" ref="FW4" si="163">MOD(RADIANS(19.895+0.0830853001*(K4+1.5)),2*PI())</f>
        <v>0.32144169086390484</v>
      </c>
      <c r="FX4" s="41">
        <f t="shared" ref="FX4" si="164">FW4+FV4*SIN(FW4)*(1+FV4*COS(FW4))</f>
        <v>0.33748226360457823</v>
      </c>
      <c r="FY4" s="41">
        <f t="shared" ref="FY4" si="165">FU4*(COS(FX4)-FV4)</f>
        <v>4.6565755783277902</v>
      </c>
      <c r="FZ4" s="41">
        <f t="shared" ref="FZ4" si="166">FU4*(SQRT(1-FV4*FV4)*SIN(FX4))</f>
        <v>1.7206019931022651</v>
      </c>
      <c r="GA4" s="34">
        <f t="shared" ref="GA4" si="167">MOD(RADIANS(IF(FY4&gt;0,DEGREES(ATAN(FZ4/FY4)),IF(FY4=0,IF(FZ4&lt;0,-90,90),DEGREES(ATAN(FZ4/FY4))+180))),2*PI())</f>
        <v>0.35393954818147044</v>
      </c>
      <c r="GB4" s="41">
        <f t="shared" ref="GB4" si="168">SQRT(FY4*FY4+FZ4*FZ4)</f>
        <v>4.964289207464275</v>
      </c>
      <c r="GC4" s="41">
        <f t="shared" ref="GC4" si="169">GB4*(COS(FR4)*COS(GA4+FT4)-SIN(FR4)*SIN(GA4+FT4)*COS(FS4))</f>
        <v>4.0657166986998661</v>
      </c>
      <c r="GD4" s="41">
        <f t="shared" ref="GD4" si="170">GB4*(SIN(FR4)*COS(GA4+FT4)+COS(FR4)*SIN(GA4+FT4)*COS(FS4))</f>
        <v>2.8466737555954751</v>
      </c>
      <c r="GE4" s="41">
        <f t="shared" ref="GE4" si="171">GB4*(SIN(GA4+FT4)*SIN(FS4))</f>
        <v>-0.10277932896890686</v>
      </c>
      <c r="GF4" s="41">
        <f t="shared" ref="GF4" si="172">DEGREES(RADIANS(IF(GC4&gt;0,DEGREES(ATAN(GD4/GC4)),IF(GC4=0,IF(GD4&lt;0,-90,90),DEGREES(ATAN(GD4/GC4))+180))))+GK4</f>
        <v>34.998557014836585</v>
      </c>
      <c r="GG4" s="41">
        <f t="shared" ref="GG4" si="173">(-0.332*SIN(2*FW4-5*HF4-RADIANS(67.6))-0.056*SIN(2*FW4-2*HF4+RADIANS(21))+0.042*SIN(3*FW4-5*HF4+RADIANS(21))-0.036*SIN(FW4-2*HF4)+0.022*COS(FW4-HF4)+0.023*SIN(2*FW4-3*HF4+RADIANS(52))-0.016*SIN(FW4-5*HF4-RADIANS(69)))</f>
        <v>3.7321759843286811E-2</v>
      </c>
      <c r="GH4" s="34">
        <f t="shared" ref="GH4" si="174">GF4+GG4</f>
        <v>35.035878774679873</v>
      </c>
      <c r="GI4" s="34">
        <f t="shared" ref="GI4" si="175">SQRT(GC4*GC4+GD4*GD4)</f>
        <v>4.9632251354218235</v>
      </c>
      <c r="GJ4" s="34">
        <f t="shared" ref="GJ4" si="176">DEGREES(RADIANS(IF(GI4&gt;0,DEGREES(ATAN(GE4/GI4)),IF(GI4=0,IF(GE4&lt;0,-90,90),DEGREES(ATAN(GE4/GI4))+180))))</f>
        <v>-1.1863214063778535</v>
      </c>
      <c r="GK4" s="41">
        <f>0.0000382394*(365.2422*((2000-(36526-OBSERVATIONS!$U$35)/365)-2000)-($K4+1.5))</f>
        <v>1.8090574842955304E-4</v>
      </c>
      <c r="GL4" s="41">
        <f t="shared" ref="GL4" si="177">GB4*COS(RADIANS(GH4))*COS(RADIANS(GJ4))</f>
        <v>4.0638525518441719</v>
      </c>
      <c r="GM4" s="41">
        <f t="shared" ref="GM4" si="178">GB4*SIN(RADIANS(GH4))*COS(RADIANS(GJ4))</f>
        <v>2.8493343401139493</v>
      </c>
      <c r="GN4" s="41">
        <f t="shared" ref="GN4" si="179">GB4*SIN(RADIANS(GJ4))</f>
        <v>-0.10277932896890687</v>
      </c>
      <c r="GO4" s="45">
        <f t="shared" ref="GO4" si="180">$AT4*COS($AU4+RADIANS(GK4))</f>
        <v>-0.95509252297714498</v>
      </c>
      <c r="GP4" s="45">
        <f t="shared" ref="GP4" si="181">$AT4*SIN($AU4+RADIANS(GK4))</f>
        <v>0.32437761418300759</v>
      </c>
      <c r="GQ4" s="45">
        <f t="shared" ref="GQ4" si="182">GL4+GO4</f>
        <v>3.1087600288670272</v>
      </c>
      <c r="GR4" s="34">
        <f t="shared" ref="GR4" si="183">GM4+GP4</f>
        <v>3.173711954296957</v>
      </c>
      <c r="GS4" s="34">
        <f t="shared" ref="GS4" si="184">GN4</f>
        <v>-0.10277932896890687</v>
      </c>
      <c r="GT4" s="34">
        <f t="shared" ref="GT4" si="185">GQ4</f>
        <v>3.1087600288670272</v>
      </c>
      <c r="GU4" s="41">
        <f t="shared" ref="GU4" si="186">GR4*COS(RADIANS($AB4))-GS4*SIN(RADIANS($AB4))</f>
        <v>2.9527696815034759</v>
      </c>
      <c r="GV4" s="34">
        <f t="shared" ref="GV4" si="187">GR4*SIN(RADIANS($AB4))+GS4*COS(RADIANS($AB4))</f>
        <v>1.1679736158426561</v>
      </c>
      <c r="GW4" s="49">
        <f t="shared" ref="GW4" si="188">DEGREES(RADIANS(IF(GT4&gt;0,DEGREES(ATAN(GU4/GT4)),IF(GT4=0,IF(GU4&lt;0,-90,90),DEGREES(ATAN(GU4/GT4))+180))))</f>
        <v>43.525847971436129</v>
      </c>
      <c r="GX4" s="34">
        <f t="shared" ref="GX4" si="189">SQRT(GT4*GT4+GU4*GU4)</f>
        <v>4.2875678081037343</v>
      </c>
      <c r="GY4" s="49">
        <f t="shared" ref="GY4" si="190">DEGREES(RADIANS(IF(GX4&gt;0,DEGREES(ATAN(GV4/GX4)),IF(GX4=0,IF(GV4&lt;0,-90,90),DEGREES(ATAN(GV4/GX4))+180))))</f>
        <v>15.238163485366405</v>
      </c>
      <c r="GZ4" s="34">
        <f t="shared" ref="GZ4" si="191">MOD($AG4-GW4-180,360)</f>
        <v>301.84156779898655</v>
      </c>
      <c r="HA4" s="41">
        <f t="shared" ref="HA4" si="192">RADIANS(113.6634+0.000023898*(K4+1.5))</f>
        <v>1.9874076421974227</v>
      </c>
      <c r="HB4" s="41">
        <f t="shared" ref="HB4" si="193">RADIANS(2.4886-0.0000001081*(K4+1.5))</f>
        <v>4.3417947562460479E-2</v>
      </c>
      <c r="HC4" s="41">
        <f t="shared" ref="HC4" si="194">RADIANS(339.3939+0.0000297661*(K4+1.5))</f>
        <v>5.9280337980558686</v>
      </c>
      <c r="HD4" s="41">
        <f t="shared" ref="HD4" si="195">9.55475</f>
        <v>9.5547500000000003</v>
      </c>
      <c r="HE4" s="41">
        <f t="shared" ref="HE4" si="196">0.055546-0.000000009499*(K4+1.5)</f>
        <v>5.546385258203472E-2</v>
      </c>
      <c r="HF4" s="34">
        <f t="shared" ref="HF4" si="197">MOD(RADIANS(316.967+0.0334442282*(K4+1.5)),2*PI())</f>
        <v>4.2968770093959829</v>
      </c>
      <c r="HG4" s="41">
        <f t="shared" ref="HG4" si="198">HF4+HE4*SIN(HF4)*(1+HE4*COS(HF4))</f>
        <v>4.247268677194036</v>
      </c>
      <c r="HH4" s="41">
        <f t="shared" ref="HH4" si="199">HD4*(COS(HG4)-HE4)</f>
        <v>-4.8155383948773371</v>
      </c>
      <c r="HI4" s="41">
        <f t="shared" ref="HI4" si="200">HD4*(SQRT(1-HE4*HE4)*SIN(HG4))</f>
        <v>-8.5265808587611254</v>
      </c>
      <c r="HJ4" s="34">
        <f t="shared" ref="HJ4" si="201">MOD(RADIANS(IF(HH4&gt;0,DEGREES(ATAN(HI4/HH4)),IF(HH4=0,IF(HI4&lt;0,-90,90),DEGREES(ATAN(HI4/HH4))+180))),2*PI())</f>
        <v>4.1982784617812809</v>
      </c>
      <c r="HK4" s="41">
        <f t="shared" ref="HK4" si="202">SQRT(HH4*HH4+HI4*HI4)</f>
        <v>9.7924456175936676</v>
      </c>
      <c r="HL4" s="41">
        <f t="shared" ref="HL4" si="203">HK4*(COS(HA4)*COS(HJ4+HC4)-SIN(HA4)*SIN(HJ4+HC4)*COS(HB4))</f>
        <v>8.8008113875845773</v>
      </c>
      <c r="HM4" s="41">
        <f t="shared" ref="HM4" si="204">HK4*(SIN(HA4)*COS(HJ4+HC4)+COS(HA4)*SIN(HJ4+HC4)*COS(HB4))</f>
        <v>-4.2851443881410969</v>
      </c>
      <c r="HN4" s="41">
        <f t="shared" ref="HN4" si="205">HK4*(SIN(HJ4+HC4)*SIN(HB4))</f>
        <v>-0.27431308112072406</v>
      </c>
      <c r="HO4" s="41">
        <f t="shared" ref="HO4" si="206">DEGREES(RADIANS(IF(HL4&gt;0,DEGREES(ATAN(HM4/HL4)),IF(HL4=0,IF(HM4&lt;0,-90,90),DEGREES(ATAN(HM4/HL4))+180))))+HV4</f>
        <v>-25.961424168921827</v>
      </c>
      <c r="HP4" s="41">
        <f t="shared" ref="HP4" si="207">0.812*SIN(2*FW4-5*HF4-RADIANS(67.6))-0.229*COS(2*FW4-4*HF4-RADIANS(2))+0.119*SIN(FW4-2*HF4-RADIANS(3))+0.046*SIN(2*FW4-6*HF4-RADIANS(69))+0.014*SIN(FW4-3*HF4+RADIANS(32))</f>
        <v>3.0194848473685455E-2</v>
      </c>
      <c r="HQ4" s="34">
        <f t="shared" ref="HQ4" si="208">HO4+HP4</f>
        <v>-25.931229320448143</v>
      </c>
      <c r="HR4" s="34">
        <f t="shared" ref="HR4" si="209">SQRT(HL4*HL4+HM4*HM4)</f>
        <v>9.7886027351739795</v>
      </c>
      <c r="HS4" s="34">
        <f t="shared" ref="HS4" si="210">DEGREES(RADIANS(IF(HR4&gt;0,DEGREES(ATAN(HN4/HR4)),IF(HR4=0,IF(HN4&lt;0,-90,90),DEGREES(ATAN(HN4/HR4))+180))))</f>
        <v>-1.6052208718962677</v>
      </c>
      <c r="HT4" s="34">
        <f t="shared" ref="HT4" si="211">-0.02*COS(2*FW4-4*HF4-RADIANS(2))+0.018*SIN(2*FW4-6*HF4-RADIANS(49))</f>
        <v>-7.7858301656778817E-4</v>
      </c>
      <c r="HU4" s="34">
        <f t="shared" ref="HU4" si="212">HS4+HT4</f>
        <v>-1.6059994549128356</v>
      </c>
      <c r="HV4" s="41">
        <f>0.0000382394*(365.2422*((2000-(36526-OBSERVATIONS!$U$35)/365)-2000)-($K4+1.5))</f>
        <v>1.8090574842955304E-4</v>
      </c>
      <c r="HW4" s="41">
        <f t="shared" ref="HW4" si="213">HK4*COS(RADIANS(HQ4))*COS(RADIANS(HU4))</f>
        <v>8.8030785965270741</v>
      </c>
      <c r="HX4" s="41">
        <f t="shared" ref="HX4" si="214">HK4*SIN(RADIANS(HQ4))*COS(RADIANS(HU4))</f>
        <v>-4.2804763446180321</v>
      </c>
      <c r="HY4" s="41">
        <f t="shared" ref="HY4" si="215">HK4*SIN(RADIANS(HU4))</f>
        <v>-0.27444609682378185</v>
      </c>
      <c r="HZ4" s="45">
        <f t="shared" ref="HZ4" si="216">$AT4*COS($AU4+RADIANS(HV4))</f>
        <v>-0.95509252297714498</v>
      </c>
      <c r="IA4" s="45">
        <f t="shared" ref="IA4" si="217">$AT4*SIN($AU4+RADIANS(HV4))</f>
        <v>0.32437761418300759</v>
      </c>
      <c r="IB4" s="45">
        <f t="shared" ref="IB4" si="218">HW4+HZ4</f>
        <v>7.8479860735499294</v>
      </c>
      <c r="IC4" s="34">
        <f t="shared" ref="IC4" si="219">HX4+IA4</f>
        <v>-3.9560987304350244</v>
      </c>
      <c r="ID4" s="34">
        <f t="shared" ref="ID4" si="220">HY4</f>
        <v>-0.27444609682378185</v>
      </c>
      <c r="IE4" s="34">
        <f t="shared" ref="IE4" si="221">IB4</f>
        <v>7.8479860735499294</v>
      </c>
      <c r="IF4" s="41">
        <f t="shared" ref="IF4" si="222">IC4*COS(RADIANS($AB4))-ID4*SIN(RADIANS($AB4))</f>
        <v>-3.5205790976287417</v>
      </c>
      <c r="IG4" s="34">
        <f t="shared" ref="IG4" si="223">IC4*SIN(RADIANS($AB4))+ID4*COS(RADIANS($AB4))</f>
        <v>-1.8252563223698235</v>
      </c>
      <c r="IH4" s="49">
        <f t="shared" ref="IH4" si="224">DEGREES(RADIANS(IF(IE4&gt;0,DEGREES(ATAN(IF4/IE4)),IF(IE4=0,IF(IF4&lt;0,-90,90),DEGREES(ATAN(IF4/IE4))+180))))</f>
        <v>-24.160837415668126</v>
      </c>
      <c r="II4" s="34">
        <f t="shared" ref="II4" si="225">SQRT(IE4*IE4+IF4*IF4)</f>
        <v>8.6014744429832515</v>
      </c>
      <c r="IJ4" s="49">
        <f t="shared" ref="IJ4" si="226">DEGREES(RADIANS(IF(II4&gt;0,DEGREES(ATAN(IG4/II4)),IF(II4=0,IF(IG4&lt;0,-90,90),DEGREES(ATAN(IG4/II4))+180))))</f>
        <v>-11.98060166028122</v>
      </c>
      <c r="IK4" s="34">
        <f t="shared" ref="IK4" si="227">MOD($AG4-IH4-180,360)</f>
        <v>9.528253186090808</v>
      </c>
    </row>
    <row r="5" spans="2:245" s="34" customFormat="1" ht="15" customHeight="1">
      <c r="B5" s="39" t="s">
        <v>132</v>
      </c>
      <c r="C5" s="34">
        <f>(1+37/60+43/3600)</f>
        <v>1.6286111111111112</v>
      </c>
      <c r="D5" s="34">
        <f>-57-14.6/60</f>
        <v>-57.243333333333332</v>
      </c>
      <c r="E5" s="38">
        <f>MOD(360-(C5+((3.075+1.336*SIN(RADIANS(C5))*TAN(RADIANS(D5)))*(OBSERVATIONS!$U$35-36526)/365)/3600)*15,360)</f>
        <v>335.27312543209854</v>
      </c>
      <c r="F5" s="38">
        <f>D5+(20.04*COS(RADIANS(C5*15))*(OBSERVATIONS!$U$35-36526)/365)/3600</f>
        <v>-57.123263197581068</v>
      </c>
      <c r="G5" s="38">
        <f>-17.3*SIN(RADIANS(125-0.05295*(OBSERVATIONS!$U$35-2451545)))-1.4*SIN(RADIANS(200+1.97129*(OBSERVATIONS!$U$35-2451545)))</f>
        <v>-15.507213434549312</v>
      </c>
      <c r="H5" s="38">
        <f>9.4*COS(RADIANS(125-0.05295*(OBSERVATIONS!$U$35-2451545)))+0.7*COS(RADIANS(200+1.97129*(OBSERVATIONS!$U$35-2451545)))</f>
        <v>-2.1041300782981658</v>
      </c>
      <c r="I5" s="41">
        <f t="shared" ref="I5:I35" si="228">E5+(0.9175+0.3978*SIN(RADIANS(C5*15)*TAN(RADIANS(D5)))*G5-COS(RADIANS(C5*15))*TAN(RADIANS(D5))*H5)/3600</f>
        <v>335.27360742908229</v>
      </c>
      <c r="J5" s="41">
        <f t="shared" ref="J5:J35" si="229">F5+(0.3978*COS(RADIANS(C5*15))*G5+SIN(RADIANS(C5))*H5)/3600</f>
        <v>-57.124839947769274</v>
      </c>
      <c r="K5" s="39">
        <f>-36525+OBSERVATIONS!$U$35-1.5+OBSERVATIONS!U37/24</f>
        <v>8646.5</v>
      </c>
      <c r="L5" s="39">
        <f>360-MOD(280.46061837+360.98564736629*(K5),360)</f>
        <v>17.139429003465921</v>
      </c>
      <c r="M5" s="34">
        <f>K5/36525</f>
        <v>0.23672826830937713</v>
      </c>
      <c r="N5" s="40">
        <f>MOD(125.04452-1934.136261*M5,360)</f>
        <v>27.17979225909653</v>
      </c>
      <c r="O5" s="40">
        <f>MOD(280.4665+36000.7698*M5,360)</f>
        <v>162.86639255852242</v>
      </c>
      <c r="P5" s="40">
        <f>MOD(218.3165+481267.8813*M5,360)</f>
        <v>28.028633071866352</v>
      </c>
      <c r="Q5" s="40">
        <f>MOD(23.4393-0.0000003563*K5,360)</f>
        <v>23.436219252049998</v>
      </c>
      <c r="R5" s="40">
        <f>-(17.2*SIN(RADIANS(N5))-1.32*SIN(RADIANS(2*O5))-0.23*SIN(RADIANS(2*P5))+0.21*SIN(RADIANS(2*N5)))</f>
        <v>-8.5797764852216023</v>
      </c>
      <c r="S5" s="40">
        <f>9.2*COS(RADIANS(N5))+0.57*COS(RADIANS(2*O5))+0.1*COS(RADIANS(2*P5))-0.09*COS(RADIANS(2*N5))</f>
        <v>8.6585667773701918</v>
      </c>
      <c r="T5" s="40">
        <f>S5+Q5</f>
        <v>32.094786029420192</v>
      </c>
      <c r="U5" s="40">
        <f>R5*COS(RADIANS(T5))/3600</f>
        <v>-2.0190365583383305E-3</v>
      </c>
      <c r="V5" s="40">
        <f>MOD(360-L5-U5,360)</f>
        <v>342.86259003309243</v>
      </c>
      <c r="W5" s="40">
        <f>MOD(280.461+0.9856474*K5,360)</f>
        <v>162.86124409999866</v>
      </c>
      <c r="X5" s="40">
        <f>MOD(357.528+35999.05*M5,360)</f>
        <v>239.52076728268366</v>
      </c>
      <c r="Y5" s="40">
        <f>1.915*SIN(RADIANS(X5))+0.02*SIN(RADIANS(2*X5))</f>
        <v>-1.6328866586597794</v>
      </c>
      <c r="Z5" s="40">
        <f>W5+Y5</f>
        <v>161.22835744133889</v>
      </c>
      <c r="AA5" s="40">
        <f>-Y5+2.466*SIN(RADIANS(2*Z5))-0.053*SIN(RADIANS(4*Z5))</f>
        <v>0.18141813544351532</v>
      </c>
      <c r="AB5" s="40">
        <f>Q5</f>
        <v>23.436219252049998</v>
      </c>
      <c r="AC5" s="40">
        <f>DEGREES(ASIN(SIN(RADIANS(AB5))*SIN(RADIANS(Z5))))</f>
        <v>7.3533256553259623</v>
      </c>
      <c r="AD5" s="40">
        <f>COS(RADIANS(AB5))*SIN(RADIANS(Z5))</f>
        <v>0.29524995674716764</v>
      </c>
      <c r="AE5" s="40">
        <f>COS(RADIANS(Z5))</f>
        <v>-0.94680864335746839</v>
      </c>
      <c r="AF5" s="40">
        <f>MOD(IF(AE5&lt;0,DEGREES(ATAN(AD5/AE5))+180,DEGREES(ATAN(AD5/AE5))),360)</f>
        <v>162.68058992047222</v>
      </c>
      <c r="AG5" s="40">
        <f>180-L5</f>
        <v>162.86057099653408</v>
      </c>
      <c r="AH5" s="40">
        <f>MOD(AG5-AF5+180,360)</f>
        <v>180.17998107606186</v>
      </c>
      <c r="AI5" s="40">
        <v>0</v>
      </c>
      <c r="AJ5" s="44">
        <v>0</v>
      </c>
      <c r="AK5" s="44">
        <f>RADIANS(282.9404+0.0000470935*(K5+1.5))</f>
        <v>4.9453496748971419</v>
      </c>
      <c r="AL5" s="40">
        <v>1</v>
      </c>
      <c r="AM5" s="44">
        <f>0.016709-0.000000001151*(K5+1.5)</f>
        <v>1.6699046152000002E-2</v>
      </c>
      <c r="AN5" s="44">
        <f>MOD(RADIANS(356.047+0.9856002585*(K5+1.5)),2*PI())</f>
        <v>4.1803783375233081</v>
      </c>
      <c r="AO5" s="44">
        <v>6.04393154842223</v>
      </c>
      <c r="AP5" s="44">
        <f>RADIANS(MOD(23.4393-0.0000003563*(K5+1.5),360))</f>
        <v>0.40903918083964314</v>
      </c>
      <c r="AQ5" s="44">
        <f>COS(AO5)-AM5</f>
        <v>0.95481604172950407</v>
      </c>
      <c r="AR5" s="44">
        <f>SQRT(1-AM5*AM5)*SIN(AO5)</f>
        <v>-0.23694466396609071</v>
      </c>
      <c r="AS5" s="40">
        <f>MOD(RADIANS(IF(AQ5&gt;0,DEGREES(ATAN(AR5/AQ5)),IF(AQ5=0,IF(AR5&lt;0,-90,90),DEGREES(ATAN(AR5/AQ5))+180))),2*PI())</f>
        <v>6.0399416086705378</v>
      </c>
      <c r="AT5" s="44">
        <f>SQRT(AQ5*AQ5+AR5*AR5)</f>
        <v>0.98377662471010241</v>
      </c>
      <c r="AU5" s="40">
        <f>AS5+AK5</f>
        <v>10.98529128356768</v>
      </c>
      <c r="AV5" s="44">
        <f>AT5*COS(AU5)</f>
        <v>-1.011600068351233E-2</v>
      </c>
      <c r="AW5" s="40">
        <f>AT5*SIN(AU5)</f>
        <v>-0.98372461281406032</v>
      </c>
      <c r="AX5" s="44">
        <f>AV5</f>
        <v>-1.011600068351233E-2</v>
      </c>
      <c r="AY5" s="40">
        <f>AW5*COS(AP5)</f>
        <v>-0.90257066797531338</v>
      </c>
      <c r="AZ5" s="40">
        <f>AW5*SIN(AP5)</f>
        <v>-0.39125478037561345</v>
      </c>
      <c r="BA5" s="40">
        <f>DEGREES(MOD(RADIANS(IF(AX5&gt;0,DEGREES(ATAN(AY5/AX5)),IF(AX5=0,IF(AY5&lt;0,-90,90),DEGREES(ATAN(AY5/AX5))+180))),PI()))</f>
        <v>89.357856512127626</v>
      </c>
      <c r="BB5" s="40">
        <f>SQRT(AX5*AX5+AY5*AY5)</f>
        <v>0.90262735619924139</v>
      </c>
      <c r="BC5" s="40">
        <f>DEGREES(RADIANS(IF(BB5&gt;0,DEGREES(ATAN(AZ5/BB5)),IF(BB5=0,IF(AZ5&lt;0,-90,90),DEGREES(ATAN(AZ5/BB5))+180))))</f>
        <v>-23.434905595522924</v>
      </c>
      <c r="BD5" s="41">
        <f>RADIANS(125.1228-0.0529538083*(K5+1.5))</f>
        <v>-5.8088350836104254</v>
      </c>
      <c r="BE5" s="34">
        <f>RADIANS(5.1454)</f>
        <v>8.9804171332116239E-2</v>
      </c>
      <c r="BF5" s="41">
        <f>RADIANS(318.0634+0.1643573223*(K5+1.5))</f>
        <v>30.358702473944657</v>
      </c>
      <c r="BG5" s="34">
        <f>60.2666</f>
        <v>60.266599999999997</v>
      </c>
      <c r="BH5" s="41">
        <f>0.0549</f>
        <v>5.4899999999999997E-2</v>
      </c>
      <c r="BI5" s="41">
        <f>MOD(RADIANS(115.3654+13.0649929509*(K5+1.5)),2*PI())</f>
        <v>1.0720587084287132</v>
      </c>
      <c r="BJ5" s="41">
        <f>BI5+BH5*SIN(BI5)*(1+BH5*COS(BI5))</f>
        <v>1.1215372203291993</v>
      </c>
      <c r="BK5" s="41">
        <f>BG5*(COS(BJ5)-BH5)</f>
        <v>22.865044342564744</v>
      </c>
      <c r="BL5" s="41">
        <f>BG5*(SQRT(1-BH5*BH5)*SIN(BJ5))</f>
        <v>54.204420696569102</v>
      </c>
      <c r="BM5" s="34">
        <f>MOD(RADIANS(IF(BK5&gt;0,DEGREES(ATAN(BL5/BK5)),IF(BK5=0,IF(BL5&lt;0,-90,90),DEGREES(ATAN(BL5/BK5))+180))),2*PI())</f>
        <v>1.1716138597315571</v>
      </c>
      <c r="BN5" s="41">
        <f>SQRT(BK5*BK5+BL5*BL5)</f>
        <v>58.829664930527194</v>
      </c>
      <c r="BO5" s="41">
        <f>BN5*(COS(BD5)*COS(BM5+BF5)-SIN(BD5)*SIN(BM5+BF5)*COS(BE5))</f>
        <v>48.937522042219847</v>
      </c>
      <c r="BP5" s="41">
        <f>BN5*(SIN(BD5)*COS(BM5+BF5)+COS(BD5)*SIN(BM5+BF5)*COS(BE5))</f>
        <v>32.644842686667495</v>
      </c>
      <c r="BQ5" s="41">
        <f>BN5*(SIN(BM5+BF5)*SIN(BE5))</f>
        <v>0.60221106605588004</v>
      </c>
      <c r="BR5" s="34">
        <f>DEGREES(RADIANS(IF(BO5&gt;0,DEGREES(ATAN(BP5/BO5)),IF(BO5=0,IF(BP5&lt;0,-90,90),DEGREES(ATAN(BP5/BO5))+180))))</f>
        <v>33.706136099674552</v>
      </c>
      <c r="BS5" s="34">
        <f>SQRT(BO5*BO5+BP5*BP5)</f>
        <v>58.826582576842092</v>
      </c>
      <c r="BT5" s="34">
        <f>DEGREES(RADIANS(IF(BS5&gt;0,DEGREES(ATAN(BQ5/BS5)),IF(BS5=0,IF(BQ5&lt;0,-90,90),DEGREES(ATAN(BQ5/BS5))+180))))</f>
        <v>0.58651966017949264</v>
      </c>
      <c r="BU5" s="34">
        <f>AN5+AK5</f>
        <v>9.1257280124204492</v>
      </c>
      <c r="BV5" s="34">
        <f>BI5+BF5+BD5</f>
        <v>25.621926098762945</v>
      </c>
      <c r="BW5" s="34">
        <f>BV5-BU5</f>
        <v>16.496198086342496</v>
      </c>
      <c r="BX5" s="41">
        <f>BV5-BD5</f>
        <v>31.43076118237337</v>
      </c>
      <c r="BY5" s="34">
        <f>-1.274*SIN(BI5-2*BW5)</f>
        <v>0.61571377351711143</v>
      </c>
      <c r="BZ5" s="41">
        <f>BY5+0.658*SIN(2*BW5)</f>
        <v>1.2737031842046922</v>
      </c>
      <c r="CA5" s="41">
        <f>BZ5-0.186*SIN(AN5)</f>
        <v>1.4339959159159492</v>
      </c>
      <c r="CB5" s="41">
        <f>CA5-0.059*SIN(2*BI5-2*BW5)</f>
        <v>1.4022745528514147</v>
      </c>
      <c r="CC5" s="41">
        <f>CB5-0.057*SIN(BI5-2*BW5+AN5)</f>
        <v>1.4313048273650772</v>
      </c>
      <c r="CD5" s="41">
        <f>CC5+0.053*SIN(BI5+2*BW5)</f>
        <v>1.4563911803242306</v>
      </c>
      <c r="CE5" s="41">
        <f>CD5+0.046*SIN(2*BW5-AN5)</f>
        <v>1.4328323667695528</v>
      </c>
      <c r="CF5" s="41">
        <f>CE5+0.041*SIN(BI5-AN5)</f>
        <v>1.4314684244665188</v>
      </c>
      <c r="CG5" s="41">
        <f>CF5-0.035*SIN(BW5)</f>
        <v>1.456287265771653</v>
      </c>
      <c r="CH5" s="41">
        <f>CG5-0.031*SIN(BI5+AN5)</f>
        <v>1.4828754687838357</v>
      </c>
      <c r="CI5" s="41">
        <f>CH5-0.015*SIN(2*BX5-2*BW5)</f>
        <v>1.4978711504370668</v>
      </c>
      <c r="CJ5" s="41">
        <f>CI5+0.011*SIN(BI5-4*BW5)</f>
        <v>1.4882714132427313</v>
      </c>
      <c r="CK5" s="34">
        <f>RADIANS(CJ5+BR5)</f>
        <v>0.61425828938903526</v>
      </c>
      <c r="CL5" s="41">
        <f>-0.173*SIN(BX5-2*BW5)</f>
        <v>0.17299274009832438</v>
      </c>
      <c r="CM5" s="41">
        <f>CL5-0.055*SIN(BI5-BX5-2*BW5)</f>
        <v>0.20028513115147636</v>
      </c>
      <c r="CN5" s="41">
        <f>CM5-0.046*SIN(BI5+BX5-2*BW5)</f>
        <v>0.22191672248527922</v>
      </c>
      <c r="CO5" s="41">
        <f>CN5+0.033*SIN(BX5+2*BW5)</f>
        <v>0.25490978321989699</v>
      </c>
      <c r="CP5" s="41">
        <f>CO5+0.017*SIN(2*BI5+BX5)</f>
        <v>0.26905319402850253</v>
      </c>
      <c r="CQ5" s="34">
        <f>RADIANS(CP5+BT5)</f>
        <v>1.4932563296614939E-2</v>
      </c>
      <c r="CR5" s="41">
        <f>BN5-0.58*COS(BI5-2*BW5)</f>
        <v>58.321898525038726</v>
      </c>
      <c r="CS5" s="41">
        <f>CR5-0.46*COS(2*BW5)</f>
        <v>58.324508233635527</v>
      </c>
      <c r="CT5" s="41">
        <f>CS5*COS(CK5)*COS(CQ5)</f>
        <v>47.657541827155278</v>
      </c>
      <c r="CU5" s="41">
        <f>CS5*SIN(CK5)*COS(CQ5)</f>
        <v>33.611731542984408</v>
      </c>
      <c r="CV5" s="41">
        <f>CS5*SIN(CQ5)</f>
        <v>0.87090204426775342</v>
      </c>
      <c r="CW5" s="40">
        <f>CT5</f>
        <v>47.657541827155278</v>
      </c>
      <c r="CX5" s="40">
        <f>CU5*COS(AP5)-CV5*SIN(AP5)</f>
        <v>30.492495574235939</v>
      </c>
      <c r="CY5" s="44">
        <f>CU5*SIN(AP5)+CV5*COS(AP5)</f>
        <v>14.167380892160857</v>
      </c>
      <c r="CZ5" s="40">
        <f>DEGREES(RADIANS(IF(CW5&gt;0,DEGREES(ATAN(CX5/CW5)),IF(CW5=0,IF(CX5&lt;0,-90,90),DEGREES(ATAN(CX5/CW5))+180))))</f>
        <v>32.612136880129079</v>
      </c>
      <c r="DA5" s="40">
        <f>SQRT(CW5*CW5+CX5*CX5)</f>
        <v>56.577677394462327</v>
      </c>
      <c r="DB5" s="40">
        <f>DEGREES(RADIANS(IF(DA5&gt;0,DEGREES(ATAN(CY5/DA5)),IF(DA5=0,IF(CY5&lt;0,-90,90),DEGREES(ATAN(CY5/DA5))+180))))</f>
        <v>14.058126533776001</v>
      </c>
      <c r="DC5" s="40">
        <f>MOD(AG5-CZ5-180,360)</f>
        <v>310.24843411640501</v>
      </c>
      <c r="DD5" s="40">
        <f>RADIANS(49.5574+0.0000211081*(K5+1.5))</f>
        <v>0.86812577246536804</v>
      </c>
      <c r="DE5" s="40">
        <f>RADIANS(1.8497-0.0000000178*(K5+1.5))</f>
        <v>3.228066851202703E-2</v>
      </c>
      <c r="DF5" s="40">
        <f>RADIANS(286.5016+0.0000292961*(K5+1.5))</f>
        <v>5.0048180705408738</v>
      </c>
      <c r="DG5" s="40">
        <f>1.523688</f>
        <v>1.5236879999999999</v>
      </c>
      <c r="DH5" s="40">
        <f>0.093405+0.000000002516*(K5+1.5)</f>
        <v>9.3426758368000004E-2</v>
      </c>
      <c r="DI5" s="40">
        <f>MOD(RADIANS(18.6021+0.5240207766*(K5+1.5)),2*PI())</f>
        <v>4.0200827703933868</v>
      </c>
      <c r="DJ5" s="44">
        <f>DI5+DH5*SIN(DI5)*(1+DH5*COS(DI5))</f>
        <v>3.9524539513777168</v>
      </c>
      <c r="DK5" s="44">
        <f>DG5*(COS(DJ5)-DH5)</f>
        <v>-1.1919828117268074</v>
      </c>
      <c r="DL5" s="44">
        <f>DG5*(SQRT(1-DH5*DH5)*SIN(DJ5))</f>
        <v>-1.0996612521304612</v>
      </c>
      <c r="DM5" s="40">
        <f>MOD(RADIANS(IF(DK5&gt;0,DEGREES(ATAN(DL5/DK5)),IF(DK5=0,IF(DL5&lt;0,-90,90),DEGREES(ATAN(DL5/DK5))+180))),2*PI())</f>
        <v>3.8867264214711161</v>
      </c>
      <c r="DN5" s="44">
        <f>SQRT(DK5*DK5+DL5*DL5)</f>
        <v>1.6217514892514449</v>
      </c>
      <c r="DO5" s="44">
        <f>DN5*(COS(DD5)*COS(DM5+DF5)-SIN(DD5)*SIN(DM5+DF5)*COS(DE5))</f>
        <v>-1.5313284973196362</v>
      </c>
      <c r="DP5" s="44">
        <f>DN5*(SIN(DD5)*COS(DM5+DF5)+COS(DD5)*SIN(DM5+DF5)*COS(DE5))</f>
        <v>-0.53329449279235164</v>
      </c>
      <c r="DQ5" s="44">
        <f>DN5*(SIN(DM5+DF5)*SIN(DE5))</f>
        <v>2.6606580829052515E-2</v>
      </c>
      <c r="DR5" s="40">
        <f>DEGREES(RADIANS(IF(DO5&gt;0,DEGREES(ATAN(DP5/DO5)),IF(DO5=0,IF(DP5&lt;0,-90,90),DEGREES(ATAN(DP5/DO5))+180))))+DU5</f>
        <v>199.20116521108704</v>
      </c>
      <c r="DS5" s="40">
        <f>SQRT(DO5*DO5+DP5*DP5)</f>
        <v>1.6215332197478616</v>
      </c>
      <c r="DT5" s="40">
        <f>DEGREES(RADIANS(IF(DS5&gt;0,DEGREES(ATAN(DQ5/DS5)),IF(DS5=0,IF(DQ5&lt;0,-90,90),DEGREES(ATAN(DQ5/DS5))+180))))</f>
        <v>0.94004117992392888</v>
      </c>
      <c r="DU5" s="44">
        <f>0.0000382394*(365.2422*((2000-(36526-OBSERVATIONS!$U$35)/365)-2000)-($K5+1.5))</f>
        <v>1.8117129981847285E-4</v>
      </c>
      <c r="DV5" s="44">
        <f>DN5*COS(RADIANS(DR5))*COS(RADIANS(DT5))</f>
        <v>-1.5313268110157598</v>
      </c>
      <c r="DW5" s="44">
        <f>DN5*SIN(RADIANS(DR5))*COS(RADIANS(DT5))</f>
        <v>-0.53329933490505088</v>
      </c>
      <c r="DX5" s="44">
        <f>DN5*SIN(RADIANS(DT5))</f>
        <v>2.6606580829052512E-2</v>
      </c>
      <c r="DY5" s="47">
        <f>$AT5*COS($AU5+RADIANS(DU5))</f>
        <v>-1.011289011112412E-2</v>
      </c>
      <c r="DZ5" s="47">
        <f>$AT5*SIN($AU5+RADIANS(DU5))</f>
        <v>-0.98372464479629762</v>
      </c>
      <c r="EA5" s="47">
        <f>DV5+DY5</f>
        <v>-1.5414397011268839</v>
      </c>
      <c r="EB5" s="40">
        <f>DW5+DZ5</f>
        <v>-1.5170239797013485</v>
      </c>
      <c r="EC5" s="40">
        <f>DX5</f>
        <v>2.6606580829052512E-2</v>
      </c>
      <c r="ED5" s="40">
        <f>EA5</f>
        <v>-1.5414397011268839</v>
      </c>
      <c r="EE5" s="44">
        <f>EB5*COS(RADIANS($AB5))-EC5*SIN(RADIANS($AB5))</f>
        <v>-1.4024568210947987</v>
      </c>
      <c r="EF5" s="40">
        <f>EB5*SIN(RADIANS($AB5))+EC5*COS(RADIANS($AB5))</f>
        <v>-0.5789512329177664</v>
      </c>
      <c r="EG5" s="40">
        <f>DEGREES(RADIANS(IF(ED5&gt;0,DEGREES(ATAN(EE5/ED5)),IF(ED5=0,IF(EE5&lt;0,-90,90),DEGREES(ATAN(EE5/ED5))+180))))</f>
        <v>222.29704351858865</v>
      </c>
      <c r="EH5" s="40">
        <f>SQRT(ED5*ED5+EE5*EE5)</f>
        <v>2.0839677270162955</v>
      </c>
      <c r="EI5" s="40">
        <f>DEGREES(RADIANS(IF(EH5&gt;0,DEGREES(ATAN(EF5/EH5)),IF(EH5=0,IF(EF5&lt;0,-90,90),DEGREES(ATAN(EF5/EH5))+180))))</f>
        <v>-15.525931075578766</v>
      </c>
      <c r="EJ5" s="40">
        <f>MOD($AG5-EG5-180,360)</f>
        <v>120.56352747794543</v>
      </c>
      <c r="EK5" s="41">
        <f>RADIANS(76.6799+0.000024659*(K5+1.5))</f>
        <v>1.3420386577416759</v>
      </c>
      <c r="EL5" s="41">
        <f>RADIANS(3.3946+0.0000000275*(K5+1.5))</f>
        <v>5.9251097530226608E-2</v>
      </c>
      <c r="EM5" s="41">
        <f>RADIANS(54.891+0.0000138374*(K5+1.5))</f>
        <v>0.96011724253859643</v>
      </c>
      <c r="EN5" s="41">
        <f>0.72333</f>
        <v>0.72333000000000003</v>
      </c>
      <c r="EO5" s="34">
        <f>0.006773-0.000000001302*(K5+1.5)</f>
        <v>6.7617403040000001E-3</v>
      </c>
      <c r="EP5" s="41">
        <f>MOD(RADIANS(48.0052+1.6021302244*(K5+1.5)),2*PI())</f>
        <v>3.8960527722679643</v>
      </c>
      <c r="EQ5" s="41">
        <f>EP5+EO5*SIN(EP5)*(1+EO5*COS(EP5))</f>
        <v>3.8914445043322026</v>
      </c>
      <c r="ER5" s="41">
        <f>EN5*(COS(EQ5)-EO5)</f>
        <v>-0.53421651828478989</v>
      </c>
      <c r="ES5" s="41">
        <f>EN5*(SQRT(1-EO5*EO5)*SIN(EQ5))</f>
        <v>-0.49296008077792625</v>
      </c>
      <c r="ET5" s="34">
        <f>MOD(RADIANS(IF(ER5&gt;0,DEGREES(ATAN(ES5/ER5)),IF(ER5=0,IF(ES5&lt;0,-90,90),DEGREES(ATAN(ES5/ER5))+180))),2*PI())</f>
        <v>3.8868475020242483</v>
      </c>
      <c r="EU5" s="41">
        <f>SQRT(ER5*ER5+ES5*ES5)</f>
        <v>0.72690916189638366</v>
      </c>
      <c r="EV5" s="41">
        <f>EU5*(COS(EK5)*COS(ET5+EM5)-SIN(EK5)*SIN(ET5+EM5)*COS(EL5))</f>
        <v>0.72245647811304703</v>
      </c>
      <c r="EW5" s="41">
        <f>EU5*(SIN(EK5)*COS(ET5+EM5)+COS(EK5)*SIN(ET5+EM5)*COS(EL5))</f>
        <v>-6.8073872190193341E-2</v>
      </c>
      <c r="EX5" s="41">
        <f>EU5*(SIN(ET5+EM5)*SIN(EL5))</f>
        <v>-4.265577107999044E-2</v>
      </c>
      <c r="EY5" s="34">
        <f>DEGREES(RADIANS(IF(EV5&gt;0,DEGREES(ATAN(EW5/EV5)),IF(EV5=0,IF(EW5&lt;0,-90,90),DEGREES(ATAN(EW5/EV5))+180))))+FB5</f>
        <v>-5.3826533314226328</v>
      </c>
      <c r="EZ5" s="34">
        <f>SQRT(EV5*EV5+EW5*EW5)</f>
        <v>0.72565654054964213</v>
      </c>
      <c r="FA5" s="34">
        <f>DEGREES(RADIANS(IF(EZ5&gt;0,DEGREES(ATAN(EX5/EZ5)),IF(EZ5=0,IF(EX5&lt;0,-90,90),DEGREES(ATAN(EX5/EZ5))+180))))</f>
        <v>-3.3641073675759925</v>
      </c>
      <c r="FB5" s="41">
        <f>0.0000382394*(365.2422*((2000-(36526-OBSERVATIONS!$U$35)/365)-2000)-($K5+1.5))</f>
        <v>1.8117129981847285E-4</v>
      </c>
      <c r="FC5" s="41">
        <f>EU5*COS(RADIANS(EY5))*COS(RADIANS(FA5))</f>
        <v>0.72245669336144891</v>
      </c>
      <c r="FD5" s="41">
        <f>EU5*SIN(RADIANS(EY5))*COS(RADIANS(FA5))</f>
        <v>-6.8071587756683372E-2</v>
      </c>
      <c r="FE5" s="41">
        <f>EU5*SIN(RADIANS(FA5))</f>
        <v>-4.2655771079990433E-2</v>
      </c>
      <c r="FF5" s="45">
        <f>$AT5*COS($AU5+RADIANS(FB5))</f>
        <v>-1.011289011112412E-2</v>
      </c>
      <c r="FG5" s="45">
        <f>$AT5*SIN($AU5+RADIANS(FB5))</f>
        <v>-0.98372464479629762</v>
      </c>
      <c r="FH5" s="45">
        <f>FC5+FF5</f>
        <v>0.71234380325032476</v>
      </c>
      <c r="FI5" s="34">
        <f>FD5+FG5</f>
        <v>-1.051796232552981</v>
      </c>
      <c r="FJ5" s="34">
        <f>FE5</f>
        <v>-4.2655771079990433E-2</v>
      </c>
      <c r="FK5" s="34">
        <f>FH5</f>
        <v>0.71234380325032476</v>
      </c>
      <c r="FL5" s="41">
        <f>FI5*COS(RADIANS($AB5))-FJ5*SIN(RADIANS($AB5))</f>
        <v>-0.94806121296280077</v>
      </c>
      <c r="FM5" s="34">
        <f>FI5*SIN(RADIANS($AB5))+FJ5*COS(RADIANS($AB5))</f>
        <v>-0.45746559006615573</v>
      </c>
      <c r="FN5" s="49">
        <f>DEGREES(RADIANS(IF(FK5&gt;0,DEGREES(ATAN(FL5/FK5)),IF(FK5=0,IF(FL5&lt;0,-90,90),DEGREES(ATAN(FL5/FK5))+180))))</f>
        <v>-53.079935150510835</v>
      </c>
      <c r="FO5" s="34">
        <f>SQRT(FK5*FK5+FL5*FL5)</f>
        <v>1.185855706885806</v>
      </c>
      <c r="FP5" s="49">
        <f>DEGREES(RADIANS(IF(FO5&gt;0,DEGREES(ATAN(FM5/FO5)),IF(FO5=0,IF(FM5&lt;0,-90,90),DEGREES(ATAN(FM5/FO5))+180))))</f>
        <v>-21.095035549552151</v>
      </c>
      <c r="FQ5" s="34">
        <f>MOD($AG5-FN5-180,360)</f>
        <v>35.940506147044914</v>
      </c>
      <c r="FR5" s="41">
        <f>RADIANS(100.4542+0.0000276854*(K5+1.5))</f>
        <v>1.7574352630320471</v>
      </c>
      <c r="FS5" s="41">
        <f>RADIANS(1.303-0.0000001557*(K5+1.5))</f>
        <v>2.2718139406809081E-2</v>
      </c>
      <c r="FT5" s="41">
        <f>RADIANS(273.8777+0.0000164505*(K5+1.5))</f>
        <v>4.7825505866698812</v>
      </c>
      <c r="FU5" s="41">
        <f>5.20256</f>
        <v>5.2025600000000001</v>
      </c>
      <c r="FV5" s="41">
        <f>0.048498+0.000000004469*(K5+1.5)</f>
        <v>4.8536647911999999E-2</v>
      </c>
      <c r="FW5" s="41">
        <f>MOD(RADIANS(19.895+0.0830853001*(K5+1.5)),2*PI())</f>
        <v>0.32143162064135744</v>
      </c>
      <c r="FX5" s="41">
        <f>FW5+FV5*SIN(FW5)*(1+FV5*COS(FW5))</f>
        <v>0.33747171064256865</v>
      </c>
      <c r="FY5" s="41">
        <f>FU5*(COS(FX5)-FV5)</f>
        <v>4.6565937570889435</v>
      </c>
      <c r="FZ5" s="41">
        <f>FU5*(SQRT(1-FV5*FV5)*SIN(FX5))</f>
        <v>1.7205502486223232</v>
      </c>
      <c r="GA5" s="34">
        <f>MOD(RADIANS(IF(FY5&gt;0,DEGREES(ATAN(FZ5/FY5)),IF(FY5=0,IF(FZ5&lt;0,-90,90),DEGREES(ATAN(FZ5/FY5))+180))),2*PI())</f>
        <v>0.35392850173226559</v>
      </c>
      <c r="GB5" s="41">
        <f>SQRT(FY5*FY5+FZ5*FZ5)</f>
        <v>4.9642883252883347</v>
      </c>
      <c r="GC5" s="41">
        <f>GB5*(COS(FR5)*COS(GA5+FT5)-SIN(FR5)*SIN(GA5+FT5)*COS(FS5))</f>
        <v>4.0657474334841481</v>
      </c>
      <c r="GD5" s="41">
        <f>GB5*(SIN(FR5)*COS(GA5+FT5)+COS(FR5)*SIN(GA5+FT5)*COS(FS5))</f>
        <v>2.8466283023245844</v>
      </c>
      <c r="GE5" s="41">
        <f>GB5*(SIN(GA5+FT5)*SIN(FS5))</f>
        <v>-0.1027798234858226</v>
      </c>
      <c r="GF5" s="41">
        <f>DEGREES(RADIANS(IF(GC5&gt;0,DEGREES(ATAN(GD5/GC5)),IF(GC5=0,IF(GD5&lt;0,-90,90),DEGREES(ATAN(GD5/GC5))+180))))+GK5</f>
        <v>34.997923950938173</v>
      </c>
      <c r="GG5" s="41">
        <f>(-0.332*SIN(2*FW5-5*HF5-RADIANS(67.6))-0.056*SIN(2*FW5-2*HF5+RADIANS(21))+0.042*SIN(3*FW5-5*HF5+RADIANS(21))-0.036*SIN(FW5-2*HF5)+0.022*COS(FW5-HF5)+0.023*SIN(2*FW5-3*HF5+RADIANS(52))-0.016*SIN(FW5-5*HF5-RADIANS(69)))</f>
        <v>3.7322030559489523E-2</v>
      </c>
      <c r="GH5" s="34">
        <f>GF5+GG5</f>
        <v>35.03524598149766</v>
      </c>
      <c r="GI5" s="34">
        <f>SQRT(GC5*GC5+GD5*GD5)</f>
        <v>4.9632242428161844</v>
      </c>
      <c r="GJ5" s="34">
        <f>DEGREES(RADIANS(IF(GI5&gt;0,DEGREES(ATAN(GE5/GI5)),IF(GI5=0,IF(GE5&lt;0,-90,90),DEGREES(ATAN(GE5/GI5))+180))))</f>
        <v>-1.1863273259575717</v>
      </c>
      <c r="GK5" s="41">
        <f>0.0000382394*(365.2422*((2000-(36526-OBSERVATIONS!$U$35)/365)-2000)-($K5+1.5))</f>
        <v>1.8117129981847285E-4</v>
      </c>
      <c r="GL5" s="41">
        <f>GB5*COS(RADIANS(GH5))*COS(RADIANS(GJ5))</f>
        <v>4.0638832897047736</v>
      </c>
      <c r="GM5" s="41">
        <f>GB5*SIN(RADIANS(GH5))*COS(RADIANS(GJ5))</f>
        <v>2.8492889450065584</v>
      </c>
      <c r="GN5" s="41">
        <f>GB5*SIN(RADIANS(GJ5))</f>
        <v>-0.1027798234858226</v>
      </c>
      <c r="GO5" s="45">
        <f>$AT5*COS($AU5+RADIANS(GK5))</f>
        <v>-1.011289011112412E-2</v>
      </c>
      <c r="GP5" s="45">
        <f>$AT5*SIN($AU5+RADIANS(GK5))</f>
        <v>-0.98372464479629762</v>
      </c>
      <c r="GQ5" s="45">
        <f>GL5+GO5</f>
        <v>4.0537703995936498</v>
      </c>
      <c r="GR5" s="34">
        <f>GM5+GP5</f>
        <v>1.8655643002102607</v>
      </c>
      <c r="GS5" s="34">
        <f>GN5</f>
        <v>-0.1027798234858226</v>
      </c>
      <c r="GT5" s="34">
        <f>GQ5</f>
        <v>4.0537703995936498</v>
      </c>
      <c r="GU5" s="41">
        <f>GR5*COS(RADIANS($AB5))-GS5*SIN(RADIANS($AB5))</f>
        <v>1.7525399745582029</v>
      </c>
      <c r="GV5" s="34">
        <f>GR5*SIN(RADIANS($AB5))+GS5*COS(RADIANS($AB5))</f>
        <v>0.64768625731160157</v>
      </c>
      <c r="GW5" s="49">
        <f>DEGREES(RADIANS(IF(GT5&gt;0,DEGREES(ATAN(GU5/GT5)),IF(GT5=0,IF(GU5&lt;0,-90,90),DEGREES(ATAN(GU5/GT5))+180))))</f>
        <v>23.379959963405511</v>
      </c>
      <c r="GX5" s="34">
        <f>SQRT(GT5*GT5+GU5*GU5)</f>
        <v>4.4163843599766226</v>
      </c>
      <c r="GY5" s="49">
        <f>DEGREES(RADIANS(IF(GX5&gt;0,DEGREES(ATAN(GV5/GX5)),IF(GX5=0,IF(GV5&lt;0,-90,90),DEGREES(ATAN(GV5/GX5))+180))))</f>
        <v>8.3432551032155473</v>
      </c>
      <c r="GZ5" s="34">
        <f>MOD($AG5-GW5-180,360)</f>
        <v>319.48061103312858</v>
      </c>
      <c r="HA5" s="41">
        <f>RADIANS(113.6634+0.000023898*(K5+1.5))</f>
        <v>1.9874076393009033</v>
      </c>
      <c r="HB5" s="41">
        <f>RADIANS(2.4886-0.0000001081*(K5+1.5))</f>
        <v>4.3417947575562568E-2</v>
      </c>
      <c r="HC5" s="41">
        <f>RADIANS(339.3939+0.0000297661*(K5+1.5))</f>
        <v>5.9280337944481145</v>
      </c>
      <c r="HD5" s="41">
        <f>9.55475</f>
        <v>9.5547500000000003</v>
      </c>
      <c r="HE5" s="41">
        <f>0.055546-0.000000009499*(K5+1.5)</f>
        <v>5.5463852647999995E-2</v>
      </c>
      <c r="HF5" s="34">
        <f>MOD(RADIANS(316.967+0.0334442282*(K5+1.5)),2*PI())</f>
        <v>4.2968729558411365</v>
      </c>
      <c r="HG5" s="41">
        <f>HF5+HE5*SIN(HF5)*(1+HE5*COS(HF5))</f>
        <v>4.2472647227408009</v>
      </c>
      <c r="HH5" s="41">
        <f>HD5*(COS(HG5)-HE5)</f>
        <v>-4.8155721654215942</v>
      </c>
      <c r="HI5" s="41">
        <f>HD5*(SQRT(1-HE5*HE5)*SIN(HG5))</f>
        <v>-8.5265639375644362</v>
      </c>
      <c r="HJ5" s="34">
        <f>MOD(RADIANS(IF(HH5&gt;0,DEGREES(ATAN(HI5/HH5)),IF(HH5=0,IF(HI5&lt;0,-90,90),DEGREES(ATAN(HI5/HH5))+180))),2*PI())</f>
        <v>4.1982746091980427</v>
      </c>
      <c r="HK5" s="41">
        <f>SQRT(HH5*HH5+HI5*HI5)</f>
        <v>9.7924474908859001</v>
      </c>
      <c r="HL5" s="41">
        <f>HK5*(COS(HA5)*COS(HJ5+HC5)-SIN(HA5)*SIN(HJ5+HC5)*COS(HB5))</f>
        <v>8.8007965685104157</v>
      </c>
      <c r="HM5" s="41">
        <f>HK5*(SIN(HA5)*COS(HJ5+HC5)+COS(HA5)*SIN(HJ5+HC5)*COS(HB5))</f>
        <v>-4.2851791809683366</v>
      </c>
      <c r="HN5" s="41">
        <f>HK5*(SIN(HJ5+HC5)*SIN(HB5))</f>
        <v>-0.27431188171201731</v>
      </c>
      <c r="HO5" s="41">
        <f>DEGREES(RADIANS(IF(HL5&gt;0,DEGREES(ATAN(HM5/HL5)),IF(HL5=0,IF(HM5&lt;0,-90,90),DEGREES(ATAN(HM5/HL5))+180))))+HV5</f>
        <v>-25.961644977943205</v>
      </c>
      <c r="HP5" s="41">
        <f>0.812*SIN(2*FW5-5*HF5-RADIANS(67.6))-0.229*COS(2*FW5-4*HF5-RADIANS(2))+0.119*SIN(FW5-2*HF5-RADIANS(3))+0.046*SIN(2*FW5-6*HF5-RADIANS(69))+0.014*SIN(FW5-3*HF5+RADIANS(32))</f>
        <v>3.0194255722080926E-2</v>
      </c>
      <c r="HQ5" s="34">
        <f>HO5+HP5</f>
        <v>-25.931450722221125</v>
      </c>
      <c r="HR5" s="34">
        <f>SQRT(HL5*HL5+HM5*HM5)</f>
        <v>9.788604642813457</v>
      </c>
      <c r="HS5" s="34">
        <f>DEGREES(RADIANS(IF(HR5&gt;0,DEGREES(ATAN(HN5/HR5)),IF(HR5=0,IF(HN5&lt;0,-90,90),DEGREES(ATAN(HN5/HR5))+180))))</f>
        <v>-1.6052135442214892</v>
      </c>
      <c r="HT5" s="34">
        <f>-0.02*COS(2*FW5-4*HF5-RADIANS(2))+0.018*SIN(2*FW5-6*HF5-RADIANS(49))</f>
        <v>-7.7859406307504223E-4</v>
      </c>
      <c r="HU5" s="34">
        <f>HS5+HT5</f>
        <v>-1.6059921382845643</v>
      </c>
      <c r="HV5" s="41">
        <f>0.0000382394*(365.2422*((2000-(36526-OBSERVATIONS!$U$35)/365)-2000)-($K5+1.5))</f>
        <v>1.8117129981847285E-4</v>
      </c>
      <c r="HW5" s="41">
        <f>HK5*COS(RADIANS(HQ5))*COS(RADIANS(HU5))</f>
        <v>8.8030637714292101</v>
      </c>
      <c r="HX5" s="41">
        <f>HK5*SIN(RADIANS(HQ5))*COS(RADIANS(HU5))</f>
        <v>-4.2805111955397095</v>
      </c>
      <c r="HY5" s="41">
        <f>HK5*SIN(RADIANS(HU5))</f>
        <v>-0.27444489932821986</v>
      </c>
      <c r="HZ5" s="45">
        <f>$AT5*COS($AU5+RADIANS(HV5))</f>
        <v>-1.011289011112412E-2</v>
      </c>
      <c r="IA5" s="45">
        <f>$AT5*SIN($AU5+RADIANS(HV5))</f>
        <v>-0.98372464479629762</v>
      </c>
      <c r="IB5" s="45">
        <f>HW5+HZ5</f>
        <v>8.7929508813180863</v>
      </c>
      <c r="IC5" s="34">
        <f>HX5+IA5</f>
        <v>-5.2642358403360072</v>
      </c>
      <c r="ID5" s="34">
        <f>HY5</f>
        <v>-0.27444489932821986</v>
      </c>
      <c r="IE5" s="34">
        <f>IB5</f>
        <v>8.7929508813180863</v>
      </c>
      <c r="IF5" s="41">
        <f>IC5*COS(RADIANS($AB5))-ID5*SIN(RADIANS($AB5))</f>
        <v>-4.7207998030793252</v>
      </c>
      <c r="IG5" s="34">
        <f>IC5*SIN(RADIANS($AB5))+ID5*COS(RADIANS($AB5))</f>
        <v>-2.3455379350357179</v>
      </c>
      <c r="IH5" s="49">
        <f>DEGREES(RADIANS(IF(IE5&gt;0,DEGREES(ATAN(IF5/IE5)),IF(IE5=0,IF(IF5&lt;0,-90,90),DEGREES(ATAN(IF5/IE5))+180))))</f>
        <v>-28.230665628992856</v>
      </c>
      <c r="II5" s="34">
        <f>SQRT(IE5*IE5+IF5*IF5)</f>
        <v>9.9800769527106503</v>
      </c>
      <c r="IJ5" s="49">
        <f>DEGREES(RADIANS(IF(II5&gt;0,DEGREES(ATAN(IG5/II5)),IF(II5=0,IF(IG5&lt;0,-90,90),DEGREES(ATAN(IG5/II5))+180))))</f>
        <v>-13.225747299894016</v>
      </c>
      <c r="IK5" s="34">
        <f>MOD($AG5-IH5-180,360)</f>
        <v>11.091236625526932</v>
      </c>
    </row>
    <row r="6" spans="2:245" s="34" customFormat="1" ht="15" customHeight="1">
      <c r="B6" s="37" t="s">
        <v>133</v>
      </c>
      <c r="C6" s="34">
        <f>(12+26/60+36/3600)</f>
        <v>12.443333333333333</v>
      </c>
      <c r="D6" s="34">
        <f>-63-5.5/60</f>
        <v>-63.091666666666669</v>
      </c>
      <c r="E6" s="38">
        <f>MOD(360-(C6+((3.075+1.336*SIN(RADIANS(C6))*TAN(RADIANS(D6)))*(OBSERVATIONS!$U$35-36526)/365)/3600)*15,360)</f>
        <v>173.10245736957845</v>
      </c>
      <c r="F6" s="38">
        <f>D6+(20.04*COS(RADIANS(C6*15))*(OBSERVATIONS!$U$35-36526)/365)/3600</f>
        <v>-63.222656033077413</v>
      </c>
      <c r="G6" s="38">
        <f>-17.3*SIN(RADIANS(125-0.05295*(OBSERVATIONS!$U$35-2451545)))-1.4*SIN(RADIANS(200+1.97129*(OBSERVATIONS!$U$35-2451545)))</f>
        <v>-15.507213434549312</v>
      </c>
      <c r="H6" s="38">
        <f>9.4*COS(RADIANS(125-0.05295*(OBSERVATIONS!$U$35-2451545)))+0.7*COS(RADIANS(200+1.97129*(OBSERVATIONS!$U$35-2451545)))</f>
        <v>-2.1041300782981658</v>
      </c>
      <c r="I6" s="41">
        <f t="shared" si="228"/>
        <v>173.10408794572999</v>
      </c>
      <c r="J6" s="41">
        <f t="shared" si="229"/>
        <v>-63.221079954918892</v>
      </c>
      <c r="K6" s="34">
        <f>-36525+OBSERVATIONS!$U$35-1.5+(OBSERVATIONS!U37+1)/24</f>
        <v>8646.5416666666661</v>
      </c>
      <c r="L6" s="39">
        <f>360-MOD(280.46061837+360.98564736629*(K6),360)</f>
        <v>2.098360363394022</v>
      </c>
      <c r="M6" s="34">
        <f>K6/36525</f>
        <v>0.23672940908053844</v>
      </c>
      <c r="N6" s="40">
        <f>MOD(125.04452-1934.136261*M6,360)</f>
        <v>27.177585852227935</v>
      </c>
      <c r="O6" s="40">
        <f>MOD(280.4665+36000.7698*M6,360)</f>
        <v>162.90746119849427</v>
      </c>
      <c r="P6" s="40">
        <f>MOD(218.3165+481267.8813*M6,360)</f>
        <v>28.577649591723457</v>
      </c>
      <c r="Q6" s="40">
        <f>MOD(23.4393-0.0000003563*K6,360)</f>
        <v>23.436219237204167</v>
      </c>
      <c r="R6" s="40">
        <f>-(17.2*SIN(RADIANS(N6))-1.32*SIN(RADIANS(2*O6))-0.23*SIN(RADIANS(2*P6))+0.21*SIN(RADIANS(2*N6)))</f>
        <v>-8.5751872715057154</v>
      </c>
      <c r="S6" s="40">
        <f>9.2*COS(RADIANS(N6))+0.57*COS(RADIANS(2*O6))+0.1*COS(RADIANS(2*P6))-0.09*COS(RADIANS(2*N6))</f>
        <v>8.657582556232418</v>
      </c>
      <c r="T6" s="40">
        <f>S6+Q6</f>
        <v>32.093801793436583</v>
      </c>
      <c r="U6" s="40">
        <f>R6*COS(RADIANS(T6))/3600</f>
        <v>-2.0179783417504081E-3</v>
      </c>
      <c r="V6" s="40">
        <f>MOD(360-L6-U6,360)</f>
        <v>357.90365761494775</v>
      </c>
      <c r="W6" s="40">
        <f>MOD(280.461+0.9856474*K6,360)</f>
        <v>162.90231274166581</v>
      </c>
      <c r="X6" s="40">
        <f>MOD(357.528+35999.05*M6,360)</f>
        <v>239.56183396075903</v>
      </c>
      <c r="Y6" s="40">
        <f>1.915*SIN(RADIANS(X6))+0.02*SIN(RADIANS(2*X6))</f>
        <v>-1.6335963754578915</v>
      </c>
      <c r="Z6" s="40">
        <f>W6+Y6</f>
        <v>161.26871636620791</v>
      </c>
      <c r="AA6" s="40">
        <f>-Y6+2.466*SIN(RADIANS(2*Z6))-0.053*SIN(RADIANS(4*Z6))</f>
        <v>0.1848452830843243</v>
      </c>
      <c r="AB6" s="40">
        <f>Q6</f>
        <v>23.436219237204167</v>
      </c>
      <c r="AC6" s="40">
        <f>DEGREES(ASIN(SIN(RADIANS(AB6))*SIN(RADIANS(Z6))))</f>
        <v>7.3380000009631505</v>
      </c>
      <c r="AD6" s="40">
        <f>COS(RADIANS(AB6))*SIN(RADIANS(Z6))</f>
        <v>0.29463797457571439</v>
      </c>
      <c r="AE6" s="40">
        <f>COS(RADIANS(Z6))</f>
        <v>-0.94703508109814405</v>
      </c>
      <c r="AF6" s="40">
        <f>MOD(IF(AE6&lt;0,DEGREES(ATAN(AD6/AE6))+180,DEGREES(ATAN(AD6/AE6))),360)</f>
        <v>162.71823474618526</v>
      </c>
      <c r="AG6" s="40">
        <f>180-L6</f>
        <v>177.90163963660598</v>
      </c>
      <c r="AH6" s="40">
        <f>MOD(AG6-AF6+180,360)</f>
        <v>195.18340489042072</v>
      </c>
      <c r="AI6" s="40">
        <v>0</v>
      </c>
      <c r="AJ6" s="44">
        <v>0</v>
      </c>
      <c r="AK6" s="44">
        <f>RADIANS(282.9404+0.0000470935*(K6+1.5))</f>
        <v>4.9453497091445024</v>
      </c>
      <c r="AL6" s="40">
        <v>1</v>
      </c>
      <c r="AM6" s="44">
        <f>0.016709-0.000000001151*(K6+1.5)</f>
        <v>1.669904610404167E-2</v>
      </c>
      <c r="AN6" s="44">
        <f>MOD(RADIANS(356.047+0.9856002585*(K6+1.5)),2*PI())</f>
        <v>4.181095086257443</v>
      </c>
      <c r="AO6" s="44">
        <f>AN6+AM6*SIN(AN6)*(1+AM6*COS(AN6))</f>
        <v>4.1668197739201647</v>
      </c>
      <c r="AP6" s="44">
        <f>RADIANS(MOD(23.4393-0.0000003563*(K6+1.5),360))</f>
        <v>0.4090391805805344</v>
      </c>
      <c r="AQ6" s="44">
        <f>COS(AO6)-AM6</f>
        <v>-0.53560379658148771</v>
      </c>
      <c r="AR6" s="44">
        <f>SQRT(1-AM6*AM6)*SIN(AO6)</f>
        <v>-0.8547128685885792</v>
      </c>
      <c r="AS6" s="40">
        <f>MOD(RADIANS(IF(AQ6&gt;0,DEGREES(ATAN(AR6/AQ6)),IF(AQ6=0,IF(AR6&lt;0,-90,90),DEGREES(ATAN(AR6/AQ6))+180))),2*PI())</f>
        <v>4.1526057270776109</v>
      </c>
      <c r="AT6" s="44">
        <f>SQRT(AQ6*AQ6+AR6*AR6)</f>
        <v>1.0086652143518291</v>
      </c>
      <c r="AU6" s="40">
        <f>AS6+AK6</f>
        <v>9.0979554362221133</v>
      </c>
      <c r="AV6" s="44">
        <f>AT6*COS(AU6)</f>
        <v>-0.95527374511574681</v>
      </c>
      <c r="AW6" s="40">
        <f>AT6*SIN(AU6)</f>
        <v>0.3238172116116691</v>
      </c>
      <c r="AX6" s="44">
        <f>AV6</f>
        <v>-0.95527374511574681</v>
      </c>
      <c r="AY6" s="40">
        <f>AW6*COS(AP6)</f>
        <v>0.29710338972104045</v>
      </c>
      <c r="AZ6" s="40">
        <f>AW6*SIN(AP6)</f>
        <v>0.12879115789612283</v>
      </c>
      <c r="BA6" s="40">
        <f>DEGREES(MOD(RADIANS(IF(AX6&gt;0,DEGREES(ATAN(AY6/AX6)),IF(AX6=0,IF(AY6&lt;0,-90,90),DEGREES(ATAN(AY6/AX6))+180))),PI()))</f>
        <v>162.72358130415526</v>
      </c>
      <c r="BB6" s="40">
        <f>SQRT(AX6*AX6+AY6*AY6)</f>
        <v>1.0004090924672753</v>
      </c>
      <c r="BC6" s="40">
        <f>DEGREES(RADIANS(IF(BB6&gt;0,DEGREES(ATAN(AZ6/BB6)),IF(BB6=0,IF(AZ6&lt;0,-90,90),DEGREES(ATAN(AZ6/BB6))+180))))</f>
        <v>7.3358228292241927</v>
      </c>
      <c r="BD6" s="41">
        <f>RADIANS(125.1228-0.0529538083*(K6+1.5))</f>
        <v>-5.8088735927065205</v>
      </c>
      <c r="BE6" s="34">
        <f>RADIANS(5.1454)</f>
        <v>8.9804171332116239E-2</v>
      </c>
      <c r="BF6" s="41">
        <f>RADIANS(318.0634+0.1643573223*(K6+1.5))</f>
        <v>30.35882199796232</v>
      </c>
      <c r="BG6" s="34">
        <f>60.2666</f>
        <v>60.266599999999997</v>
      </c>
      <c r="BH6" s="41">
        <f>0.0549</f>
        <v>5.4899999999999997E-2</v>
      </c>
      <c r="BI6" s="41">
        <f>MOD(RADIANS(115.3654+13.0649929509*(K6+1.5)),2*PI())</f>
        <v>1.0815598394177783</v>
      </c>
      <c r="BJ6" s="41">
        <f>BI6+BH6*SIN(BI6)*(1+BH6*COS(BI6))</f>
        <v>1.1312699067774272</v>
      </c>
      <c r="BK6" s="41">
        <f>BG6*(COS(BJ6)-BH6)</f>
        <v>22.335461580391584</v>
      </c>
      <c r="BL6" s="41">
        <f>BG6*(SQRT(1-BH6*BH6)*SIN(BJ6))</f>
        <v>54.456205482077635</v>
      </c>
      <c r="BM6" s="34">
        <f>MOD(RADIANS(IF(BK6&gt;0,DEGREES(ATAN(BL6/BK6)),IF(BK6=0,IF(BL6&lt;0,-90,90),DEGREES(ATAN(BL6/BK6))+180))),2*PI())</f>
        <v>1.1815667763371629</v>
      </c>
      <c r="BN6" s="41">
        <f>SQRT(BK6*BK6+BL6*BL6)</f>
        <v>58.858739024170497</v>
      </c>
      <c r="BO6" s="41">
        <f>BN6*(COS(BD6)*COS(BM6+BF6)-SIN(BD6)*SIN(BM6+BF6)*COS(BE6))</f>
        <v>48.632371550500096</v>
      </c>
      <c r="BP6" s="41">
        <f>BN6*(SIN(BD6)*COS(BM6+BF6)+COS(BD6)*SIN(BM6+BF6)*COS(BE6))</f>
        <v>33.148366181094111</v>
      </c>
      <c r="BQ6" s="41">
        <f>BN6*(SIN(BM6+BF6)*SIN(BE6))</f>
        <v>0.6552987209029314</v>
      </c>
      <c r="BR6" s="34">
        <f>DEGREES(RADIANS(IF(BO6&gt;0,DEGREES(ATAN(BP6/BO6)),IF(BO6=0,IF(BP6&lt;0,-90,90),DEGREES(ATAN(BP6/BO6))+180))))</f>
        <v>34.278778132390819</v>
      </c>
      <c r="BS6" s="34">
        <f>SQRT(BO6*BO6+BP6*BP6)</f>
        <v>58.855091055080315</v>
      </c>
      <c r="BT6" s="34">
        <f>DEGREES(RADIANS(IF(BS6&gt;0,DEGREES(ATAN(BQ6/BS6)),IF(BS6=0,IF(BQ6&lt;0,-90,90),DEGREES(ATAN(BQ6/BS6))+180))))</f>
        <v>0.63791082423351653</v>
      </c>
      <c r="BU6" s="34">
        <f>AN6+AK6</f>
        <v>9.1264447954019445</v>
      </c>
      <c r="BV6" s="34">
        <f>BI6+BF6+BD6</f>
        <v>25.631508244673576</v>
      </c>
      <c r="BW6" s="34">
        <f>BV6-BU6</f>
        <v>16.505063449271631</v>
      </c>
      <c r="BX6" s="41">
        <f>BV6-BD6</f>
        <v>31.440381837380095</v>
      </c>
      <c r="BY6" s="34">
        <f>-1.274*SIN(BI6-2*BW6)</f>
        <v>0.62487157666193627</v>
      </c>
      <c r="BZ6" s="41">
        <f>BY6+0.658*SIN(2*BW6)</f>
        <v>1.2826913755014222</v>
      </c>
      <c r="CA6" s="41">
        <f>BZ6-0.186*SIN(AN6)</f>
        <v>1.4430516924830394</v>
      </c>
      <c r="CB6" s="41">
        <f>CA6-0.059*SIN(2*BI6-2*BW6)</f>
        <v>1.4112671000853407</v>
      </c>
      <c r="CC6" s="41">
        <f>CB6-0.057*SIN(BI6-2*BW6+AN6)</f>
        <v>1.4399280276027746</v>
      </c>
      <c r="CD6" s="41">
        <f>CC6+0.053*SIN(BI6+2*BW6)</f>
        <v>1.4637338631857935</v>
      </c>
      <c r="CE6" s="41">
        <f>CD6+0.046*SIN(2*BW6-AN6)</f>
        <v>1.4395062820366076</v>
      </c>
      <c r="CF6" s="41">
        <f>CE6+0.041*SIN(BI6-AN6)</f>
        <v>1.4377824366616769</v>
      </c>
      <c r="CG6" s="41">
        <f>CF6-0.035*SIN(BW6)</f>
        <v>1.4628190830691612</v>
      </c>
      <c r="CH6" s="41">
        <f>CG6-0.031*SIN(BI6+AN6)</f>
        <v>1.4892430331260467</v>
      </c>
      <c r="CI6" s="41">
        <f>CH6-0.015*SIN(2*BX6-2*BW6)</f>
        <v>1.5042381540033345</v>
      </c>
      <c r="CJ6" s="41">
        <f>CI6+0.011*SIN(BI6-4*BW6)</f>
        <v>1.4947810623927256</v>
      </c>
      <c r="CK6" s="34">
        <f>RADIANS(CJ6+BR6)</f>
        <v>0.62436639310606434</v>
      </c>
      <c r="CL6" s="41">
        <f>-0.173*SIN(BX6-2*BW6)</f>
        <v>0.17299990440371824</v>
      </c>
      <c r="CM6" s="41">
        <f>CL6-0.055*SIN(BI6-BX6-2*BW6)</f>
        <v>0.2011402633881382</v>
      </c>
      <c r="CN6" s="41">
        <f>CM6-0.046*SIN(BI6+BX6-2*BW6)</f>
        <v>0.22271536166485403</v>
      </c>
      <c r="CO6" s="41">
        <f>CN6+0.033*SIN(BX6+2*BW6)</f>
        <v>0.25567757536138813</v>
      </c>
      <c r="CP6" s="41">
        <f>CO6+0.017*SIN(2*BI6+BX6)</f>
        <v>0.26954525644608118</v>
      </c>
      <c r="CQ6" s="34">
        <f>RADIANS(CP6+BT6)</f>
        <v>1.5838096425102283E-2</v>
      </c>
      <c r="CR6" s="41">
        <f>BN6-0.58*COS(BI6-2*BW6)</f>
        <v>58.353296618691189</v>
      </c>
      <c r="CS6" s="41">
        <f>CR6-0.46*COS(2*BW6)</f>
        <v>58.364061492378305</v>
      </c>
      <c r="CT6" s="41">
        <f>CS6*COS(CK6)*COS(CQ6)</f>
        <v>47.346789714255088</v>
      </c>
      <c r="CU6" s="41">
        <f>CS6*SIN(CK6)*COS(CQ6)</f>
        <v>34.114377889275936</v>
      </c>
      <c r="CV6" s="41">
        <f>CS6*SIN(CQ6)</f>
        <v>0.92433698828131783</v>
      </c>
      <c r="CW6" s="40">
        <f>CT6</f>
        <v>47.346789714255088</v>
      </c>
      <c r="CX6" s="40">
        <f>CU6*COS(AP6)-CV6*SIN(AP6)</f>
        <v>30.932422734012803</v>
      </c>
      <c r="CY6" s="44">
        <f>CU6*SIN(AP6)+CV6*COS(AP6)</f>
        <v>14.416324130809205</v>
      </c>
      <c r="CZ6" s="40">
        <f>DEGREES(RADIANS(IF(CW6&gt;0,DEGREES(ATAN(CX6/CW6)),IF(CW6=0,IF(CX6&lt;0,-90,90),DEGREES(ATAN(CX6/CW6))+180))))</f>
        <v>33.157234180268709</v>
      </c>
      <c r="DA6" s="40">
        <f>SQRT(CW6*CW6+CX6*CX6)</f>
        <v>56.555576846510576</v>
      </c>
      <c r="DB6" s="40">
        <f>DEGREES(RADIANS(IF(DA6&gt;0,DEGREES(ATAN(CY6/DA6)),IF(DA6=0,IF(CY6&lt;0,-90,90),DEGREES(ATAN(CY6/DA6))+180))))</f>
        <v>14.300464564930534</v>
      </c>
      <c r="DC6" s="40">
        <f>MOD(AG6-CZ6-180,360)</f>
        <v>324.74440545633729</v>
      </c>
      <c r="DD6" s="40">
        <f>RADIANS(49.5574+0.0000211081*(K6+1.5))</f>
        <v>0.86812578781561156</v>
      </c>
      <c r="DE6" s="40">
        <f>RADIANS(1.8497-0.0000000178*(K6+1.5))</f>
        <v>3.2280668499082503E-2</v>
      </c>
      <c r="DF6" s="40">
        <f>RADIANS(286.5016+0.0000292961*(K6+1.5))</f>
        <v>5.0048180918455989</v>
      </c>
      <c r="DG6" s="40">
        <f>1.523688</f>
        <v>1.5236879999999999</v>
      </c>
      <c r="DH6" s="40">
        <f>0.093405+0.000000002516*(K6+1.5)</f>
        <v>9.3426758472833341E-2</v>
      </c>
      <c r="DI6" s="40">
        <f>MOD(RADIANS(18.6021+0.5240207766*(K6+1.5)),2*PI())</f>
        <v>4.0204638490559006</v>
      </c>
      <c r="DJ6" s="44">
        <f>DI6+DH6*SIN(DI6)*(1+DH6*COS(DI6))</f>
        <v>3.9528116923575127</v>
      </c>
      <c r="DK6" s="44">
        <f>DG6*(COS(DJ6)-DH6)</f>
        <v>-1.1915876226333755</v>
      </c>
      <c r="DL6" s="44">
        <f>DG6*(SQRT(1-DH6*DH6)*SIN(DJ6))</f>
        <v>-1.1000350349007109</v>
      </c>
      <c r="DM6" s="40">
        <f>MOD(RADIANS(IF(DK6&gt;0,DEGREES(ATAN(DL6/DK6)),IF(DK6=0,IF(DL6&lt;0,-90,90),DEGREES(ATAN(DL6/DK6))+180))),2*PI())</f>
        <v>3.8870610643449863</v>
      </c>
      <c r="DN6" s="44">
        <f>SQRT(DK6*DK6+DL6*DL6)</f>
        <v>1.6217145681105747</v>
      </c>
      <c r="DO6" s="44">
        <f>DN6*(COS(DD6)*COS(DM6+DF6)-SIN(DD6)*SIN(DM6+DF6)*COS(DE6))</f>
        <v>-1.5311153490248364</v>
      </c>
      <c r="DP6" s="44">
        <f>DN6*(SIN(DD6)*COS(DM6+DF6)+COS(DD6)*SIN(DM6+DF6)*COS(DE6))</f>
        <v>-0.53379476677257709</v>
      </c>
      <c r="DQ6" s="44">
        <f>DN6*(SIN(DM6+DF6)*SIN(DE6))</f>
        <v>2.6590888831171146E-2</v>
      </c>
      <c r="DR6" s="40">
        <f>DEGREES(RADIANS(IF(DO6&gt;0,DEGREES(ATAN(DP6/DO6)),IF(DO6=0,IF(DP6&lt;0,-90,90),DEGREES(ATAN(DP6/DO6))+180))))+DU6</f>
        <v>199.22033450949849</v>
      </c>
      <c r="DS6" s="40">
        <f>SQRT(DO6*DO6+DP6*DP6)</f>
        <v>1.621496551045742</v>
      </c>
      <c r="DT6" s="40">
        <f>DEGREES(RADIANS(IF(DS6&gt;0,DEGREES(ATAN(DQ6/DS6)),IF(DS6=0,IF(DQ6&lt;0,-90,90),DEGREES(ATAN(DQ6/DS6))+180))))</f>
        <v>0.93950810479627123</v>
      </c>
      <c r="DU6" s="44">
        <f>0.0000382394*(365.2422*((2000-(36526-OBSERVATIONS!$U$35)/365)-2000)-($K6+1.5))</f>
        <v>1.7957799148516271E-4</v>
      </c>
      <c r="DV6" s="44">
        <f>DN6*COS(RADIANS(DR6))*COS(RADIANS(DT6))</f>
        <v>-1.5311136759832307</v>
      </c>
      <c r="DW6" s="44">
        <f>DN6*SIN(RADIANS(DR6))*COS(RADIANS(DT6))</f>
        <v>-0.53379956563335174</v>
      </c>
      <c r="DX6" s="44">
        <f>DN6*SIN(RADIANS(DT6))</f>
        <v>2.6590888831171146E-2</v>
      </c>
      <c r="DY6" s="47">
        <f>$AT6*COS($AU6+RADIANS(DU6))</f>
        <v>-0.95527476002777234</v>
      </c>
      <c r="DZ6" s="47">
        <f>$AT6*SIN($AU6+RADIANS(DU6))</f>
        <v>0.32381421756510842</v>
      </c>
      <c r="EA6" s="47">
        <f>DV6+DY6</f>
        <v>-2.4863884360110031</v>
      </c>
      <c r="EB6" s="40">
        <f>DW6+DZ6</f>
        <v>-0.20998534806824332</v>
      </c>
      <c r="EC6" s="40">
        <f>DX6</f>
        <v>2.6590888831171146E-2</v>
      </c>
      <c r="ED6" s="40">
        <f>EA6</f>
        <v>-2.4863884360110031</v>
      </c>
      <c r="EE6" s="44">
        <f>EB6*COS(RADIANS($AB6))-EC6*SIN(RADIANS($AB6))</f>
        <v>-0.20323820824333214</v>
      </c>
      <c r="EF6" s="40">
        <f>EB6*SIN(RADIANS($AB6))+EC6*COS(RADIANS($AB6))</f>
        <v>-5.9119814632768913E-2</v>
      </c>
      <c r="EG6" s="40">
        <f>DEGREES(RADIANS(IF(ED6&gt;0,DEGREES(ATAN(EE6/ED6)),IF(ED6=0,IF(EE6&lt;0,-90,90),DEGREES(ATAN(EE6/ED6))+180))))</f>
        <v>184.67298684253888</v>
      </c>
      <c r="EH6" s="40">
        <f>SQRT(ED6*ED6+EE6*EE6)</f>
        <v>2.4946809864227535</v>
      </c>
      <c r="EI6" s="40">
        <f>DEGREES(RADIANS(IF(EH6&gt;0,DEGREES(ATAN(EF6/EH6)),IF(EH6=0,IF(EF6&lt;0,-90,90),DEGREES(ATAN(EF6/EH6))+180))))</f>
        <v>-1.3575611380431294</v>
      </c>
      <c r="EJ6" s="40">
        <f>MOD($AG6-EG6-180,360)</f>
        <v>173.2286527940671</v>
      </c>
      <c r="EK6" s="41">
        <f>RADIANS(76.6799+0.000024659*(K6+1.5))</f>
        <v>1.3420386756742064</v>
      </c>
      <c r="EL6" s="41">
        <f>RADIANS(3.3946+0.0000000275*(K6+1.5))</f>
        <v>5.9251097550225167E-2</v>
      </c>
      <c r="EM6" s="41">
        <f>RADIANS(54.891+0.0000138374*(K6+1.5))</f>
        <v>0.96011725260143754</v>
      </c>
      <c r="EN6" s="41">
        <f>0.72333</f>
        <v>0.72333000000000003</v>
      </c>
      <c r="EO6" s="34">
        <f>0.006773-0.000000001302*(K6+1.5)</f>
        <v>6.7617402497500007E-3</v>
      </c>
      <c r="EP6" s="41">
        <f>MOD(RADIANS(48.0052+1.6021302244*(K6+1.5)),2*PI())</f>
        <v>3.897217874245527</v>
      </c>
      <c r="EQ6" s="41">
        <f>EP6+EO6*SIN(EP6)*(1+EO6*COS(EP6))</f>
        <v>3.8926038724009437</v>
      </c>
      <c r="ER6" s="41">
        <f>EN6*(COS(EQ6)-EO6)</f>
        <v>-0.53364462738872132</v>
      </c>
      <c r="ES6" s="41">
        <f>EN6*(SQRT(1-EO6*EO6)*SIN(EQ6))</f>
        <v>-0.49357341844818114</v>
      </c>
      <c r="ET6" s="34">
        <f>MOD(RADIANS(IF(ER6&gt;0,DEGREES(ATAN(ES6/ER6)),IF(ER6=0,IF(ES6&lt;0,-90,90),DEGREES(ATAN(ES6/ER6))+180))),2*PI())</f>
        <v>3.8880011383171449</v>
      </c>
      <c r="EU6" s="41">
        <f>SQRT(ER6*ER6+ES6*ES6)</f>
        <v>0.72690529489024269</v>
      </c>
      <c r="EV6" s="41">
        <f>EU6*(COS(EK6)*COS(ET6+EM6)-SIN(EK6)*SIN(ET6+EM6)*COS(EL6))</f>
        <v>0.72253121097310025</v>
      </c>
      <c r="EW6" s="41">
        <f>EU6*(SIN(EK6)*COS(ET6+EM6)+COS(EK6)*SIN(ET6+EM6)*COS(EL6))</f>
        <v>-6.7238621611696192E-2</v>
      </c>
      <c r="EX6" s="41">
        <f>EU6*(SIN(ET6+EM6)*SIN(EL6))</f>
        <v>-4.2648853126140029E-2</v>
      </c>
      <c r="EY6" s="34">
        <f>DEGREES(RADIANS(IF(EV6&gt;0,DEGREES(ATAN(EW6/EV6)),IF(EV6=0,IF(EW6&lt;0,-90,90),DEGREES(ATAN(EW6/EV6))+180))))+FB6</f>
        <v>-5.3164428633652117</v>
      </c>
      <c r="EZ6" s="34">
        <f>SQRT(EV6*EV6+EW6*EW6)</f>
        <v>0.72565307349069741</v>
      </c>
      <c r="FA6" s="34">
        <f>DEGREES(RADIANS(IF(EZ6&gt;0,DEGREES(ATAN(EX6/EZ6)),IF(EZ6=0,IF(EX6&lt;0,-90,90),DEGREES(ATAN(EX6/EZ6))+180))))</f>
        <v>-3.3635790598682944</v>
      </c>
      <c r="FB6" s="41">
        <f>0.0000382394*(365.2422*((2000-(36526-OBSERVATIONS!$U$35)/365)-2000)-($K6+1.5))</f>
        <v>1.7957799148516271E-4</v>
      </c>
      <c r="FC6" s="41">
        <f>EU6*COS(RADIANS(EY6))*COS(RADIANS(FA6))</f>
        <v>0.7225314217106692</v>
      </c>
      <c r="FD6" s="41">
        <f>EU6*SIN(RADIANS(EY6))*COS(RADIANS(FA6))</f>
        <v>-6.7236357034380426E-2</v>
      </c>
      <c r="FE6" s="41">
        <f>EU6*SIN(RADIANS(FA6))</f>
        <v>-4.2648853126140036E-2</v>
      </c>
      <c r="FF6" s="45">
        <f>$AT6*COS($AU6+RADIANS(FB6))</f>
        <v>-0.95527476002777234</v>
      </c>
      <c r="FG6" s="45">
        <f>$AT6*SIN($AU6+RADIANS(FB6))</f>
        <v>0.32381421756510842</v>
      </c>
      <c r="FH6" s="45">
        <f>FC6+FF6</f>
        <v>-0.23274333831710314</v>
      </c>
      <c r="FI6" s="34">
        <f>FD6+FG6</f>
        <v>0.25657786053072801</v>
      </c>
      <c r="FJ6" s="34">
        <f>FE6</f>
        <v>-4.2648853126140036E-2</v>
      </c>
      <c r="FK6" s="34">
        <f>FH6</f>
        <v>-0.23274333831710314</v>
      </c>
      <c r="FL6" s="41">
        <f>FI6*COS(RADIANS($AB6))-FJ6*SIN(RADIANS($AB6))</f>
        <v>0.25237369771458595</v>
      </c>
      <c r="FM6" s="34">
        <f>FI6*SIN(RADIANS($AB6))+FJ6*COS(RADIANS($AB6))</f>
        <v>6.2917723173741488E-2</v>
      </c>
      <c r="FN6" s="49">
        <f>DEGREES(RADIANS(IF(FK6&gt;0,DEGREES(ATAN(FL6/FK6)),IF(FK6=0,IF(FL6&lt;0,-90,90),DEGREES(ATAN(FL6/FK6))+180))))</f>
        <v>132.68277885712544</v>
      </c>
      <c r="FO6" s="34">
        <f>SQRT(FK6*FK6+FL6*FL6)</f>
        <v>0.34331027486680726</v>
      </c>
      <c r="FP6" s="49">
        <f>DEGREES(RADIANS(IF(FO6&gt;0,DEGREES(ATAN(FM6/FO6)),IF(FO6=0,IF(FM6&lt;0,-90,90),DEGREES(ATAN(FM6/FO6))+180))))</f>
        <v>10.385225795881835</v>
      </c>
      <c r="FQ6" s="34">
        <f>MOD($AG6-FN6-180,360)</f>
        <v>225.21886077948054</v>
      </c>
      <c r="FR6" s="41">
        <f>RADIANS(100.4542+0.0000276854*(K6+1.5))</f>
        <v>1.7574352831654381</v>
      </c>
      <c r="FS6" s="41">
        <f>RADIANS(1.303-0.0000001557*(K6+1.5))</f>
        <v>2.2718139293580849E-2</v>
      </c>
      <c r="FT6" s="41">
        <f>RADIANS(273.8777+0.0000164505*(K6+1.5))</f>
        <v>4.7825505986330228</v>
      </c>
      <c r="FU6" s="41">
        <f>5.20256</f>
        <v>5.2025600000000001</v>
      </c>
      <c r="FV6" s="41">
        <f>0.048498+0.000000004469*(K6+1.5)</f>
        <v>4.8536648098208332E-2</v>
      </c>
      <c r="FW6" s="41">
        <f>MOD(RADIANS(19.895+0.0830853001*(K6+1.5)),2*PI())</f>
        <v>0.32149204197663828</v>
      </c>
      <c r="FX6" s="41">
        <f>FW6+FV6*SIN(FW6)*(1+FV6*COS(FW6))</f>
        <v>0.3375350283870085</v>
      </c>
      <c r="FY6" s="41">
        <f>FU6*(COS(FX6)-FV6)</f>
        <v>4.6564846763691357</v>
      </c>
      <c r="FZ6" s="41">
        <f>FU6*(SQRT(1-FV6*FV6)*SIN(FX6))</f>
        <v>1.7208607124922195</v>
      </c>
      <c r="GA6" s="34">
        <f>MOD(RADIANS(IF(FY6&gt;0,DEGREES(ATAN(FZ6/FY6)),IF(FY6=0,IF(FZ6&lt;0,-90,90),DEGREES(ATAN(FZ6/FY6))+180))),2*PI())</f>
        <v>0.35399478036914345</v>
      </c>
      <c r="GB6" s="41">
        <f>SQRT(FY6*FY6+FZ6*FZ6)</f>
        <v>4.9642936187397098</v>
      </c>
      <c r="GC6" s="41">
        <f>GB6*(COS(FR6)*COS(GA6+FT6)-SIN(FR6)*SIN(GA6+FT6)*COS(FS6))</f>
        <v>4.0655630176520674</v>
      </c>
      <c r="GD6" s="41">
        <f>GB6*(SIN(FR6)*COS(GA6+FT6)+COS(FR6)*SIN(GA6+FT6)*COS(FS6))</f>
        <v>2.8469010169635989</v>
      </c>
      <c r="GE6" s="41">
        <f>GB6*(SIN(GA6+FT6)*SIN(FS6))</f>
        <v>-0.10277685620431821</v>
      </c>
      <c r="GF6" s="41">
        <f>DEGREES(RADIANS(IF(GC6&gt;0,DEGREES(ATAN(GD6/GC6)),IF(GC6=0,IF(GD6&lt;0,-90,90),DEGREES(ATAN(GD6/GC6))+180))))+GK6</f>
        <v>35.001722330944354</v>
      </c>
      <c r="GG6" s="41">
        <f>(-0.332*SIN(2*FW6-5*HF6-RADIANS(67.6))-0.056*SIN(2*FW6-2*HF6+RADIANS(21))+0.042*SIN(3*FW6-5*HF6+RADIANS(21))-0.036*SIN(FW6-2*HF6)+0.022*COS(FW6-HF6)+0.023*SIN(2*FW6-3*HF6+RADIANS(52))-0.016*SIN(FW6-5*HF6-RADIANS(69)))</f>
        <v>3.7320406199733723E-2</v>
      </c>
      <c r="GH6" s="34">
        <f>GF6+GG6</f>
        <v>35.039042737144086</v>
      </c>
      <c r="GI6" s="34">
        <f>SQRT(GC6*GC6+GD6*GD6)</f>
        <v>4.9632295988487733</v>
      </c>
      <c r="GJ6" s="34">
        <f>DEGREES(RADIANS(IF(GI6&gt;0,DEGREES(ATAN(GE6/GI6)),IF(GI6=0,IF(GE6&lt;0,-90,90),DEGREES(ATAN(GE6/GI6))+180))))</f>
        <v>-1.1862918063383858</v>
      </c>
      <c r="GK6" s="41">
        <f>0.0000382394*(365.2422*((2000-(36526-OBSERVATIONS!$U$35)/365)-2000)-($K6+1.5))</f>
        <v>1.7957799148516271E-4</v>
      </c>
      <c r="GL6" s="41">
        <f>GB6*COS(RADIANS(GH6))*COS(RADIANS(GJ6))</f>
        <v>4.0636988554339002</v>
      </c>
      <c r="GM6" s="41">
        <f>GB6*SIN(RADIANS(GH6))*COS(RADIANS(GJ6))</f>
        <v>2.8495613106641113</v>
      </c>
      <c r="GN6" s="41">
        <f>GB6*SIN(RADIANS(GJ6))</f>
        <v>-0.10277685620431823</v>
      </c>
      <c r="GO6" s="45">
        <f>$AT6*COS($AU6+RADIANS(GK6))</f>
        <v>-0.95527476002777234</v>
      </c>
      <c r="GP6" s="45">
        <f>$AT6*SIN($AU6+RADIANS(GK6))</f>
        <v>0.32381421756510842</v>
      </c>
      <c r="GQ6" s="45">
        <f>GL6+GO6</f>
        <v>3.1084240954061277</v>
      </c>
      <c r="GR6" s="34">
        <f>GM6+GP6</f>
        <v>3.1733755282292195</v>
      </c>
      <c r="GS6" s="34">
        <f>GN6</f>
        <v>-0.10277685620431823</v>
      </c>
      <c r="GT6" s="34">
        <f>GQ6</f>
        <v>3.1084240954061277</v>
      </c>
      <c r="GU6" s="41">
        <f>GR6*COS(RADIANS($AB6))-GS6*SIN(RADIANS($AB6))</f>
        <v>2.9524600262113161</v>
      </c>
      <c r="GV6" s="34">
        <f>GR6*SIN(RADIANS($AB6))+GS6*COS(RADIANS($AB6))</f>
        <v>1.1678420779196113</v>
      </c>
      <c r="GW6" s="49">
        <f>DEGREES(RADIANS(IF(GT6&gt;0,DEGREES(ATAN(GU6/GT6)),IF(GT6=0,IF(GU6&lt;0,-90,90),DEGREES(ATAN(GU6/GT6))+180))))</f>
        <v>43.525939270936703</v>
      </c>
      <c r="GX6" s="34">
        <f>SQRT(GT6*GT6+GU6*GU6)</f>
        <v>4.2871109809844121</v>
      </c>
      <c r="GY6" s="49">
        <f>DEGREES(RADIANS(IF(GX6&gt;0,DEGREES(ATAN(GV6/GX6)),IF(GX6=0,IF(GV6&lt;0,-90,90),DEGREES(ATAN(GV6/GX6))+180))))</f>
        <v>15.238075226655301</v>
      </c>
      <c r="GZ6" s="34">
        <f>MOD($AG6-GW6-180,360)</f>
        <v>314.37570036566927</v>
      </c>
      <c r="HA6" s="41">
        <f>RADIANS(113.6634+0.000023898*(K6+1.5))</f>
        <v>1.9874076566800192</v>
      </c>
      <c r="HB6" s="41">
        <f>RADIANS(2.4886-0.0000001081*(K6+1.5))</f>
        <v>4.3417947496950021E-2</v>
      </c>
      <c r="HC6" s="41">
        <f>RADIANS(339.3939+0.0000297661*(K6+1.5))</f>
        <v>5.9280338160946338</v>
      </c>
      <c r="HD6" s="41">
        <f>9.55475</f>
        <v>9.5547500000000003</v>
      </c>
      <c r="HE6" s="41">
        <f>0.055546-0.000000009499*(K6+1.5)</f>
        <v>5.5463852252208332E-2</v>
      </c>
      <c r="HF6" s="34">
        <f>MOD(RADIANS(316.967+0.0334442282*(K6+1.5)),2*PI())</f>
        <v>4.2968972771702134</v>
      </c>
      <c r="HG6" s="41">
        <f>HF6+HE6*SIN(HF6)*(1+HE6*COS(HF6))</f>
        <v>4.2472884494715988</v>
      </c>
      <c r="HH6" s="41">
        <f>HD6*(COS(HG6)-HE6)</f>
        <v>-4.8153695410535677</v>
      </c>
      <c r="HI6" s="41">
        <f>HD6*(SQRT(1-HE6*HE6)*SIN(HG6))</f>
        <v>-8.5266654627932503</v>
      </c>
      <c r="HJ6" s="34">
        <f>MOD(RADIANS(IF(HH6&gt;0,DEGREES(ATAN(HI6/HH6)),IF(HH6=0,IF(HI6&lt;0,-90,90),DEGREES(ATAN(HI6/HH6))+180))),2*PI())</f>
        <v>4.1982977247196258</v>
      </c>
      <c r="HK6" s="41">
        <f>SQRT(HH6*HH6+HI6*HI6)</f>
        <v>9.79243625107142</v>
      </c>
      <c r="HL6" s="41">
        <f>HK6*(COS(HA6)*COS(HJ6+HC6)-SIN(HA6)*SIN(HJ6+HC6)*COS(HB6))</f>
        <v>8.8008854809344506</v>
      </c>
      <c r="HM6" s="41">
        <f>HK6*(SIN(HA6)*COS(HJ6+HC6)+COS(HA6)*SIN(HJ6+HC6)*COS(HB6))</f>
        <v>-4.284970423020968</v>
      </c>
      <c r="HN6" s="41">
        <f>HK6*(SIN(HJ6+HC6)*SIN(HB6))</f>
        <v>-0.27431907810135286</v>
      </c>
      <c r="HO6" s="41">
        <f>DEGREES(RADIANS(IF(HL6&gt;0,DEGREES(ATAN(HM6/HL6)),IF(HL6=0,IF(HM6&lt;0,-90,90),DEGREES(ATAN(HM6/HL6))+180))))+HV6</f>
        <v>-25.960320122522717</v>
      </c>
      <c r="HP6" s="41">
        <f>0.812*SIN(2*FW6-5*HF6-RADIANS(67.6))-0.229*COS(2*FW6-4*HF6-RADIANS(2))+0.119*SIN(FW6-2*HF6-RADIANS(3))+0.046*SIN(2*FW6-6*HF6-RADIANS(69))+0.014*SIN(FW6-3*HF6+RADIANS(32))</f>
        <v>3.0197812214549299E-2</v>
      </c>
      <c r="HQ6" s="34">
        <f>HO6+HP6</f>
        <v>-25.930122310308167</v>
      </c>
      <c r="HR6" s="34">
        <f>SQRT(HL6*HL6+HM6*HM6)</f>
        <v>9.7885931969148299</v>
      </c>
      <c r="HS6" s="34">
        <f>DEGREES(RADIANS(IF(HR6&gt;0,DEGREES(ATAN(HN6/HR6)),IF(HR6=0,IF(HN6&lt;0,-90,90),DEGREES(ATAN(HN6/HR6))+180))))</f>
        <v>-1.6052575099544235</v>
      </c>
      <c r="HT6" s="34">
        <f>-0.02*COS(2*FW6-4*HF6-RADIANS(2))+0.018*SIN(2*FW6-6*HF6-RADIANS(49))</f>
        <v>-7.7852778342868932E-4</v>
      </c>
      <c r="HU6" s="34">
        <f>HS6+HT6</f>
        <v>-1.6060360377378522</v>
      </c>
      <c r="HV6" s="41">
        <f>0.0000382394*(365.2422*((2000-(36526-OBSERVATIONS!$U$35)/365)-2000)-($K6+1.5))</f>
        <v>1.7957799148516271E-4</v>
      </c>
      <c r="HW6" s="41">
        <f>HK6*COS(RADIANS(HQ6))*COS(RADIANS(HU6))</f>
        <v>8.8031527199877004</v>
      </c>
      <c r="HX6" s="41">
        <f>HK6*SIN(RADIANS(HQ6))*COS(RADIANS(HU6))</f>
        <v>-4.280302089026887</v>
      </c>
      <c r="HY6" s="41">
        <f>HK6*SIN(RADIANS(HU6))</f>
        <v>-0.2744520842385948</v>
      </c>
      <c r="HZ6" s="45">
        <f>$AT6*COS($AU6+RADIANS(HV6))</f>
        <v>-0.95527476002777234</v>
      </c>
      <c r="IA6" s="45">
        <f>$AT6*SIN($AU6+RADIANS(HV6))</f>
        <v>0.32381421756510842</v>
      </c>
      <c r="IB6" s="45">
        <f>HW6+HZ6</f>
        <v>7.847877959959928</v>
      </c>
      <c r="IC6" s="34">
        <f>HX6+IA6</f>
        <v>-3.9564878714617784</v>
      </c>
      <c r="ID6" s="34">
        <f>HY6</f>
        <v>-0.2744520842385948</v>
      </c>
      <c r="IE6" s="34">
        <f>IB6</f>
        <v>7.847877959959928</v>
      </c>
      <c r="IF6" s="41">
        <f>IC6*COS(RADIANS($AB6))-ID6*SIN(RADIANS($AB6))</f>
        <v>-3.520933754870732</v>
      </c>
      <c r="IG6" s="34">
        <f>IC6*SIN(RADIANS($AB6))+ID6*COS(RADIANS($AB6))</f>
        <v>-1.8254165873517612</v>
      </c>
      <c r="IH6" s="49">
        <f>DEGREES(RADIANS(IF(IE6&gt;0,DEGREES(ATAN(IF6/IE6)),IF(IE6=0,IF(IF6&lt;0,-90,90),DEGREES(ATAN(IF6/IE6))+180))))</f>
        <v>-24.163287643655973</v>
      </c>
      <c r="II6" s="34">
        <f>SQRT(IE6*IE6+IF6*IF6)</f>
        <v>8.6015209690271011</v>
      </c>
      <c r="IJ6" s="49">
        <f>DEGREES(RADIANS(IF(II6&gt;0,DEGREES(ATAN(IG6/II6)),IF(II6=0,IF(IG6&lt;0,-90,90),DEGREES(ATAN(IG6/II6))+180))))</f>
        <v>-11.981560270156928</v>
      </c>
      <c r="IK6" s="34">
        <f>MOD($AG6-IH6-180,360)</f>
        <v>22.064927280261941</v>
      </c>
    </row>
    <row r="7" spans="2:245" s="34" customFormat="1" ht="15" customHeight="1">
      <c r="B7" s="37" t="s">
        <v>134</v>
      </c>
      <c r="C7" s="34">
        <f>(6+58/60+39/3600)</f>
        <v>6.9775</v>
      </c>
      <c r="D7" s="34">
        <f>-28-58.4/60</f>
        <v>-28.973333333333333</v>
      </c>
      <c r="E7" s="38">
        <f>MOD(360-(C7+((3.075+1.336*SIN(RADIANS(C7))*TAN(RADIANS(D7)))*(OBSERVATIONS!$U$35-36526)/365)/3600)*15,360)</f>
        <v>255.04283707007957</v>
      </c>
      <c r="F7" s="38">
        <f>D7+(20.04*COS(RADIANS(C7*15))*(OBSERVATIONS!$U$35-36526)/365)/3600</f>
        <v>-29.006714578629957</v>
      </c>
      <c r="G7" s="38">
        <f>-17.3*SIN(RADIANS(125-0.05295*(OBSERVATIONS!$U$35-2451545)))-1.4*SIN(RADIANS(200+1.97129*(OBSERVATIONS!$U$35-2451545)))</f>
        <v>-15.507213434549312</v>
      </c>
      <c r="H7" s="38">
        <f>9.4*COS(RADIANS(125-0.05295*(OBSERVATIONS!$U$35-2451545)))+0.7*COS(RADIANS(200+1.97129*(OBSERVATIONS!$U$35-2451545)))</f>
        <v>-2.1041300782981658</v>
      </c>
      <c r="I7" s="41">
        <f t="shared" si="228"/>
        <v>255.04462625378682</v>
      </c>
      <c r="J7" s="41">
        <f t="shared" si="229"/>
        <v>-29.006351839785729</v>
      </c>
      <c r="K7" s="34">
        <f>VLOOKUP(OBSERVATIONS!U7,O7:P69,2,FALSE)</f>
        <v>0</v>
      </c>
      <c r="L7" s="39"/>
      <c r="N7" s="40"/>
      <c r="O7" s="40" t="s">
        <v>135</v>
      </c>
      <c r="P7" s="40">
        <v>1</v>
      </c>
      <c r="Q7" s="40">
        <f>AH4</f>
        <v>182.68055158460612</v>
      </c>
      <c r="R7" s="40">
        <f>AH5</f>
        <v>180.17998107606186</v>
      </c>
      <c r="S7" s="40">
        <f>AH6</f>
        <v>195.18340489042072</v>
      </c>
      <c r="T7" s="40">
        <f>AC4</f>
        <v>7.3507716188661876</v>
      </c>
      <c r="U7" s="40">
        <f>AC5</f>
        <v>7.3533256553259623</v>
      </c>
      <c r="V7" s="40">
        <f>AC6</f>
        <v>7.3380000009631505</v>
      </c>
      <c r="W7" s="40"/>
      <c r="X7" s="40"/>
      <c r="Y7" s="40">
        <f>MOD(Q7+OBSERVATIONS!$AO$13,360)</f>
        <v>189.46388491793945</v>
      </c>
      <c r="Z7" s="40">
        <f t="shared" ref="Z7" si="230">IF(Y7&gt;180,360-Y7,Y7)</f>
        <v>170.53611508206055</v>
      </c>
      <c r="AA7" s="40">
        <f>T7</f>
        <v>7.3507716188661876</v>
      </c>
      <c r="AB7" s="40">
        <f t="shared" ref="AB7" si="231">IF(Y7&gt;90,IF(Y7&lt;270,1,0),0)</f>
        <v>1</v>
      </c>
      <c r="AC7" s="40">
        <f>ABS(TAN(RADIANS(ABS(OBSERVATIONS!$AO$12)))/TAN(RADIANS(ABS(Z7))))</f>
        <v>8.7525639605953689</v>
      </c>
      <c r="AD7" s="40">
        <f>IF(AB7=0,IF(OBSERVATIONS!$AY$35="N",-AC7,AC7),IF(OBSERVATIONS!$AY$35="N",AC7,-AC7))</f>
        <v>8.7525639605953689</v>
      </c>
      <c r="AE7" s="40">
        <f t="shared" ref="AE7" si="232">IF(AA7&gt;0,ABS(TAN(RADIANS(AA7))/SIN(RADIANS(Y7))),-ABS(TAN(RADIANS(AA7))/SIN(RADIANS(Y7))))</f>
        <v>0.78457066677580589</v>
      </c>
      <c r="AF7" s="40">
        <f t="shared" ref="AF7" si="233">AD7+AE7</f>
        <v>9.5371346273711755</v>
      </c>
      <c r="AG7" s="40">
        <f>ABS(DEGREES(ATAN(1/(COS(RADIANS(ABS(OBSERVATIONS!$AO$12)))*AF7))))</f>
        <v>10.507023782911681</v>
      </c>
      <c r="AH7" s="40">
        <f t="shared" ref="AH7" si="234">IF(AF7&lt;0,IF(Y7&lt;180,180+AG7,180-AG7),IF(Y7&lt;180,360-AG7,AG7))</f>
        <v>10.507023782911681</v>
      </c>
      <c r="AI7" s="40">
        <f>AA7-OBSERVATIONS!$AO$12</f>
        <v>-48.22256171446714</v>
      </c>
      <c r="AJ7" s="44">
        <f>DEGREES(ASIN(SIN(RADIANS(OBSERVATIONS!$AO$12))*SIN(RADIANS(AA7))+COS(RADIANS(OBSERVATIONS!$AO$12))*COS(RADIANS(AA7))*COS(RADIANS(Y7))))</f>
        <v>-26.585887845034229</v>
      </c>
      <c r="AK7" s="44">
        <f t="shared" ref="AK7" si="235">AJ7</f>
        <v>-26.585887845034229</v>
      </c>
      <c r="AL7" s="34" t="s">
        <v>135</v>
      </c>
      <c r="AM7" s="44">
        <f t="shared" ref="AM7" si="236">AH7</f>
        <v>10.507023782911681</v>
      </c>
      <c r="AN7" s="44">
        <f t="shared" ref="AN7" si="237">AJ7</f>
        <v>-26.585887845034229</v>
      </c>
      <c r="AO7" s="44">
        <v>1.2059548677676499</v>
      </c>
      <c r="AP7" s="44"/>
      <c r="AQ7" s="44"/>
      <c r="AR7" s="44"/>
      <c r="AS7" s="40"/>
      <c r="AT7" s="44"/>
      <c r="AU7" s="40"/>
      <c r="AV7" s="44"/>
      <c r="AW7" s="40"/>
      <c r="AX7" s="44"/>
      <c r="AY7" s="40"/>
      <c r="AZ7" s="40"/>
      <c r="BA7" s="40"/>
      <c r="BB7" s="40"/>
      <c r="BC7" s="40"/>
      <c r="BD7" s="41"/>
      <c r="BF7" s="41"/>
      <c r="BH7" s="41"/>
      <c r="BI7" s="41"/>
      <c r="BJ7" s="41"/>
      <c r="BK7" s="41"/>
      <c r="BL7" s="41"/>
      <c r="BN7" s="41"/>
      <c r="BO7" s="41"/>
      <c r="BP7" s="41"/>
      <c r="BQ7" s="41"/>
      <c r="BX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L7" s="41"/>
      <c r="CM7" s="41"/>
      <c r="CN7" s="41"/>
      <c r="CO7" s="41"/>
      <c r="CP7" s="41"/>
      <c r="CR7" s="41"/>
      <c r="CS7" s="41"/>
      <c r="CT7" s="41"/>
      <c r="CU7" s="41"/>
      <c r="CV7" s="41"/>
      <c r="CW7" s="40"/>
      <c r="CX7" s="40"/>
      <c r="CY7" s="44"/>
      <c r="CZ7" s="40"/>
      <c r="DA7" s="40"/>
      <c r="DB7" s="40"/>
      <c r="DC7" s="40"/>
      <c r="DD7" s="40"/>
      <c r="DE7" s="40"/>
      <c r="DF7" s="40"/>
      <c r="DG7" s="40"/>
      <c r="DH7" s="40"/>
      <c r="DI7" s="40"/>
      <c r="DJ7" s="40"/>
      <c r="DK7" s="40"/>
      <c r="DL7" s="40"/>
      <c r="DM7" s="40"/>
      <c r="DN7" s="40"/>
      <c r="DO7" s="40"/>
      <c r="DP7" s="40"/>
      <c r="DQ7" s="47"/>
      <c r="DR7" s="47"/>
      <c r="DS7" s="47"/>
      <c r="DT7" s="47"/>
      <c r="DU7" s="47"/>
      <c r="DV7" s="47"/>
      <c r="DW7" s="47"/>
      <c r="DX7" s="47"/>
      <c r="DY7" s="47"/>
      <c r="DZ7" s="47"/>
      <c r="EA7" s="47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0"/>
      <c r="EU7" s="40"/>
      <c r="EV7" s="40"/>
      <c r="EW7" s="40"/>
      <c r="EX7" s="40"/>
      <c r="EY7" s="40"/>
      <c r="EZ7" s="40"/>
      <c r="FA7" s="40"/>
      <c r="FB7" s="40"/>
      <c r="FC7" s="40"/>
      <c r="FD7" s="40"/>
      <c r="FE7" s="40"/>
      <c r="FF7" s="40"/>
      <c r="FG7" s="40"/>
      <c r="FH7" s="40"/>
      <c r="FI7" s="40"/>
      <c r="FJ7" s="40"/>
      <c r="FK7" s="40"/>
      <c r="FL7" s="40"/>
      <c r="FM7" s="40"/>
      <c r="FN7" s="40"/>
      <c r="FO7" s="40"/>
    </row>
    <row r="8" spans="2:245" s="34" customFormat="1" ht="15" customHeight="1">
      <c r="B8" s="37" t="s">
        <v>136</v>
      </c>
      <c r="C8" s="34">
        <f>(4+35/60+56/3600)</f>
        <v>4.5988888888888884</v>
      </c>
      <c r="D8" s="34">
        <f>16+30.5/60</f>
        <v>16.508333333333333</v>
      </c>
      <c r="E8" s="38">
        <f>MOD(360-(C8+((3.075+1.336*SIN(RADIANS(C8))*TAN(RADIANS(D8)))*(OBSERVATIONS!$U$35-36526)/365)/3600)*15,360)</f>
        <v>290.70999949695732</v>
      </c>
      <c r="F8" s="38">
        <f>D8+(20.04*COS(RADIANS(C8*15))*(OBSERVATIONS!$U$35-36526)/365)/3600</f>
        <v>16.555629499004979</v>
      </c>
      <c r="G8" s="38">
        <f>-17.3*SIN(RADIANS(125-0.05295*(OBSERVATIONS!$U$35-2451545)))-1.4*SIN(RADIANS(200+1.97129*(OBSERVATIONS!$U$35-2451545)))</f>
        <v>-15.507213434549312</v>
      </c>
      <c r="H8" s="38">
        <f>9.4*COS(RADIANS(125-0.05295*(OBSERVATIONS!$U$35-2451545)))+0.7*COS(RADIANS(200+1.97129*(OBSERVATIONS!$U$35-2451545)))</f>
        <v>-2.1041300782981658</v>
      </c>
      <c r="I8" s="41">
        <f t="shared" si="228"/>
        <v>290.70971793519436</v>
      </c>
      <c r="J8" s="41">
        <f t="shared" si="229"/>
        <v>16.554968089916549</v>
      </c>
      <c r="L8" s="39"/>
      <c r="N8" s="40"/>
      <c r="O8" s="40" t="s">
        <v>137</v>
      </c>
      <c r="P8" s="40">
        <v>1</v>
      </c>
      <c r="Q8" s="40">
        <f>DC4</f>
        <v>312.66445620847139</v>
      </c>
      <c r="R8" s="40">
        <f>DC5</f>
        <v>310.24843411640501</v>
      </c>
      <c r="S8" s="40">
        <f>DC6</f>
        <v>324.74440545633729</v>
      </c>
      <c r="T8" s="40">
        <f>DB4</f>
        <v>14.098625879951598</v>
      </c>
      <c r="U8" s="40">
        <f>DB5</f>
        <v>14.058126533776001</v>
      </c>
      <c r="V8" s="40">
        <f>DB6</f>
        <v>14.300464564930534</v>
      </c>
      <c r="W8" s="40"/>
      <c r="X8" s="40"/>
      <c r="Y8" s="40">
        <f>MOD(Q8+OBSERVATIONS!$AO$13,360)</f>
        <v>319.44778954180475</v>
      </c>
      <c r="Z8" s="40">
        <f t="shared" ref="Z8:Z38" si="238">IF(Y8&gt;180,360-Y8,Y8)</f>
        <v>40.552210458195248</v>
      </c>
      <c r="AA8" s="40">
        <f>T8</f>
        <v>14.098625879951598</v>
      </c>
      <c r="AB8" s="40">
        <f t="shared" ref="AB8:AB38" si="239">IF(Y8&gt;90,IF(Y8&lt;270,1,0),0)</f>
        <v>0</v>
      </c>
      <c r="AC8" s="40">
        <f>ABS(TAN(RADIANS(ABS(OBSERVATIONS!$AO$12)))/TAN(RADIANS(ABS(Z8))))</f>
        <v>1.7051277938426164</v>
      </c>
      <c r="AD8" s="40">
        <f>IF(AB8=0,IF(OBSERVATIONS!$AY$35="N",-AC8,AC8),IF(OBSERVATIONS!$AY$35="N",AC8,-AC8))</f>
        <v>-1.7051277938426164</v>
      </c>
      <c r="AE8" s="40">
        <f t="shared" ref="AE8:AE38" si="240">IF(AA8&gt;0,ABS(TAN(RADIANS(AA8))/SIN(RADIANS(Y8))),-ABS(TAN(RADIANS(AA8))/SIN(RADIANS(Y8))))</f>
        <v>0.38631198566488573</v>
      </c>
      <c r="AF8" s="40">
        <f t="shared" ref="AF8:AF38" si="241">AD8+AE8</f>
        <v>-1.3188158081777306</v>
      </c>
      <c r="AG8" s="40">
        <f>ABS(DEGREES(ATAN(1/(COS(RADIANS(ABS(OBSERVATIONS!$AO$12)))*AF8))))</f>
        <v>53.29201688839786</v>
      </c>
      <c r="AH8" s="40">
        <f t="shared" ref="AH8:AH38" si="242">IF(AF8&lt;0,IF(Y8&lt;180,180+AG8,180-AG8),IF(Y8&lt;180,360-AG8,AG8))</f>
        <v>126.70798311160215</v>
      </c>
      <c r="AI8" s="40">
        <f>AA8-OBSERVATIONS!$AO$12</f>
        <v>-41.474707453381733</v>
      </c>
      <c r="AJ8" s="44">
        <f>DEGREES(ASIN(SIN(RADIANS(OBSERVATIONS!$AO$12))*SIN(RADIANS(AA8))+COS(RADIANS(OBSERVATIONS!$AO$12))*COS(RADIANS(AA8))*COS(RADIANS(Y8))))</f>
        <v>38.137365759120101</v>
      </c>
      <c r="AK8" s="44">
        <f t="shared" ref="AK8:AK38" si="243">AJ8</f>
        <v>38.137365759120101</v>
      </c>
      <c r="AL8" s="34" t="s">
        <v>137</v>
      </c>
      <c r="AM8" s="44">
        <f t="shared" ref="AM8:AM38" si="244">AH8</f>
        <v>126.70798311160215</v>
      </c>
      <c r="AN8" s="44">
        <f t="shared" ref="AN8:AN38" si="245">AJ8</f>
        <v>38.137365759120101</v>
      </c>
      <c r="AO8" s="44"/>
      <c r="AP8" s="44"/>
      <c r="AQ8" s="44"/>
      <c r="AR8" s="44"/>
      <c r="AS8" s="40"/>
      <c r="AT8" s="44"/>
      <c r="AU8" s="40"/>
      <c r="AV8" s="44"/>
      <c r="AW8" s="40"/>
      <c r="AX8" s="44"/>
      <c r="AY8" s="40"/>
      <c r="AZ8" s="40"/>
      <c r="BA8" s="40"/>
      <c r="BB8" s="40"/>
      <c r="BC8" s="40"/>
      <c r="BD8" s="41"/>
      <c r="BF8" s="41"/>
      <c r="BH8" s="41"/>
      <c r="BI8" s="41"/>
      <c r="BJ8" s="41"/>
      <c r="BK8" s="41"/>
      <c r="BL8" s="41"/>
      <c r="BN8" s="41"/>
      <c r="BO8" s="41"/>
      <c r="BP8" s="41"/>
      <c r="BQ8" s="41"/>
      <c r="BX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L8" s="41"/>
      <c r="CM8" s="41"/>
      <c r="CN8" s="41"/>
      <c r="CO8" s="41"/>
      <c r="CP8" s="41"/>
      <c r="CR8" s="41"/>
      <c r="CS8" s="41"/>
      <c r="CT8" s="41"/>
      <c r="CU8" s="41"/>
      <c r="CV8" s="41"/>
      <c r="CW8" s="40"/>
      <c r="CX8" s="40"/>
      <c r="CY8" s="44"/>
      <c r="CZ8" s="40"/>
      <c r="DA8" s="40"/>
      <c r="DB8" s="40"/>
      <c r="DC8" s="40"/>
      <c r="DD8" s="40"/>
      <c r="DE8" s="40"/>
      <c r="DF8" s="40"/>
      <c r="DG8" s="40"/>
      <c r="DH8" s="40"/>
      <c r="DI8" s="40"/>
      <c r="DJ8" s="40"/>
      <c r="DK8" s="40"/>
      <c r="DL8" s="40"/>
      <c r="DM8" s="40"/>
      <c r="DN8" s="40"/>
      <c r="DO8" s="40"/>
      <c r="DP8" s="40"/>
      <c r="DQ8" s="47"/>
      <c r="DR8" s="47"/>
      <c r="DS8" s="47"/>
      <c r="DT8" s="47"/>
      <c r="DU8" s="47"/>
      <c r="DV8" s="47"/>
      <c r="DW8" s="47"/>
      <c r="DX8" s="47"/>
      <c r="DY8" s="47"/>
      <c r="DZ8" s="47"/>
      <c r="EA8" s="47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40"/>
      <c r="EW8" s="40"/>
      <c r="EX8" s="40"/>
      <c r="EY8" s="40"/>
      <c r="EZ8" s="40"/>
      <c r="FA8" s="40"/>
      <c r="FB8" s="40"/>
      <c r="FC8" s="40"/>
      <c r="FD8" s="40"/>
      <c r="FE8" s="40"/>
      <c r="FF8" s="40"/>
      <c r="FG8" s="40"/>
      <c r="FH8" s="40"/>
      <c r="FI8" s="40"/>
      <c r="FJ8" s="40"/>
      <c r="FK8" s="40"/>
      <c r="FL8" s="40"/>
      <c r="FM8" s="40"/>
      <c r="FN8" s="40"/>
      <c r="FO8" s="40"/>
    </row>
    <row r="9" spans="2:245" s="34" customFormat="1" ht="15" customHeight="1">
      <c r="B9" s="37" t="s">
        <v>138</v>
      </c>
      <c r="C9" s="34">
        <f>(12+54/60+0/3600)</f>
        <v>12.9</v>
      </c>
      <c r="D9" s="34">
        <f>55+57.4/60</f>
        <v>55.956666666666663</v>
      </c>
      <c r="E9" s="38">
        <f>MOD(360-(C9+((3.075+1.336*SIN(RADIANS(C9))*TAN(RADIANS(D9)))*(OBSERVATIONS!$U$35-36526)/365)/3600)*15,360)</f>
        <v>166.15288896330603</v>
      </c>
      <c r="F9" s="38">
        <f>D9+(20.04*COS(RADIANS(C9*15))*(OBSERVATIONS!$U$35-36526)/365)/3600</f>
        <v>55.828433807198138</v>
      </c>
      <c r="G9" s="38">
        <f>-17.3*SIN(RADIANS(125-0.05295*(OBSERVATIONS!$U$35-2451545)))-1.4*SIN(RADIANS(200+1.97129*(OBSERVATIONS!$U$35-2451545)))</f>
        <v>-15.507213434549312</v>
      </c>
      <c r="H9" s="38">
        <f>9.4*COS(RADIANS(125-0.05295*(OBSERVATIONS!$U$35-2451545)))+0.7*COS(RADIANS(200+1.97129*(OBSERVATIONS!$U$35-2451545)))</f>
        <v>-2.1041300782981658</v>
      </c>
      <c r="I9" s="41">
        <f t="shared" si="228"/>
        <v>166.15394637322655</v>
      </c>
      <c r="J9" s="41">
        <f t="shared" si="229"/>
        <v>55.829969523483619</v>
      </c>
      <c r="L9" s="39"/>
      <c r="N9" s="40"/>
      <c r="O9" s="40" t="s">
        <v>131</v>
      </c>
      <c r="P9" s="40">
        <v>0</v>
      </c>
      <c r="Q9" s="40"/>
      <c r="R9" s="40"/>
      <c r="S9" s="40"/>
      <c r="T9" s="40"/>
      <c r="U9" s="40"/>
      <c r="V9" s="40"/>
      <c r="W9" s="40"/>
      <c r="X9" s="40"/>
      <c r="Y9" s="40">
        <f>MOD(V$4+OBSERVATIONS!$AO$13+I4,360)</f>
        <v>307.28931892046057</v>
      </c>
      <c r="Z9" s="40">
        <f t="shared" si="238"/>
        <v>52.710681079539427</v>
      </c>
      <c r="AA9" s="40">
        <f t="shared" ref="AA9" si="246">J4</f>
        <v>-40.217297640774731</v>
      </c>
      <c r="AB9" s="40">
        <f t="shared" si="239"/>
        <v>0</v>
      </c>
      <c r="AC9" s="40">
        <f>ABS(TAN(RADIANS(ABS(OBSERVATIONS!$AO$12)))/TAN(RADIANS(ABS(Z9))))</f>
        <v>1.1110349627578229</v>
      </c>
      <c r="AD9" s="40">
        <f>IF(AB9=0,IF(OBSERVATIONS!$AY$35="N",-AC9,AC9),IF(OBSERVATIONS!$AY$35="N",AC9,-AC9))</f>
        <v>-1.1110349627578229</v>
      </c>
      <c r="AE9" s="40">
        <f t="shared" si="240"/>
        <v>-1.0628425936813608</v>
      </c>
      <c r="AF9" s="40">
        <f t="shared" si="241"/>
        <v>-2.1738775564391837</v>
      </c>
      <c r="AG9" s="40">
        <f>ABS(DEGREES(ATAN(1/(COS(RADIANS(ABS(OBSERVATIONS!$AO$12)))*AF9))))</f>
        <v>39.134116814658881</v>
      </c>
      <c r="AH9" s="40">
        <f t="shared" si="242"/>
        <v>140.86588318534112</v>
      </c>
      <c r="AI9" s="40">
        <f>AA9-OBSERVATIONS!$AO$12</f>
        <v>-95.790630974108069</v>
      </c>
      <c r="AJ9" s="44">
        <f>DEGREES(ASIN(SIN(RADIANS(OBSERVATIONS!$AO$12))*SIN(RADIANS(AA9))+COS(RADIANS(OBSERVATIONS!$AO$12))*COS(RADIANS(AA9))*COS(RADIANS(Y9))))</f>
        <v>-15.726964781028991</v>
      </c>
      <c r="AK9" s="44">
        <f t="shared" si="243"/>
        <v>-15.726964781028991</v>
      </c>
      <c r="AL9" s="34" t="s">
        <v>131</v>
      </c>
      <c r="AM9" s="44">
        <f t="shared" si="244"/>
        <v>140.86588318534112</v>
      </c>
      <c r="AN9" s="44">
        <f t="shared" si="245"/>
        <v>-15.726964781028991</v>
      </c>
      <c r="AO9" s="44"/>
      <c r="AP9" s="44"/>
      <c r="AQ9" s="44"/>
      <c r="AR9" s="44"/>
      <c r="AS9" s="40"/>
      <c r="AT9" s="44"/>
      <c r="AU9" s="40"/>
      <c r="AV9" s="44"/>
      <c r="AW9" s="40"/>
      <c r="AX9" s="44"/>
      <c r="AY9" s="40"/>
      <c r="AZ9" s="40"/>
      <c r="BA9" s="40"/>
      <c r="BB9" s="40"/>
      <c r="BC9" s="40"/>
      <c r="BD9" s="41"/>
      <c r="BF9" s="41"/>
      <c r="BH9" s="41"/>
      <c r="BI9" s="41"/>
      <c r="BJ9" s="41"/>
      <c r="BK9" s="41"/>
      <c r="BL9" s="41"/>
      <c r="BN9" s="41"/>
      <c r="BO9" s="41"/>
      <c r="BP9" s="41"/>
      <c r="BQ9" s="41"/>
      <c r="BX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L9" s="41"/>
      <c r="CM9" s="41"/>
      <c r="CN9" s="41"/>
      <c r="CO9" s="41"/>
      <c r="CP9" s="41"/>
      <c r="CR9" s="41"/>
      <c r="CS9" s="41"/>
      <c r="CT9" s="41"/>
      <c r="CU9" s="41"/>
      <c r="CV9" s="41"/>
      <c r="CW9" s="40"/>
      <c r="CX9" s="40"/>
      <c r="CY9" s="44"/>
      <c r="CZ9" s="40"/>
      <c r="DA9" s="40"/>
      <c r="DB9" s="40"/>
      <c r="DC9" s="40"/>
      <c r="DD9" s="40"/>
      <c r="DE9" s="40"/>
      <c r="DF9" s="40"/>
      <c r="DG9" s="40"/>
      <c r="DH9" s="40"/>
      <c r="DI9" s="40"/>
      <c r="DJ9" s="40"/>
      <c r="DK9" s="40"/>
      <c r="DL9" s="40"/>
      <c r="DM9" s="40"/>
      <c r="DN9" s="40"/>
      <c r="DO9" s="40"/>
      <c r="DP9" s="40"/>
      <c r="DQ9" s="47"/>
      <c r="DR9" s="47"/>
      <c r="DS9" s="47"/>
      <c r="DT9" s="47"/>
      <c r="DU9" s="47"/>
      <c r="DV9" s="47"/>
      <c r="DW9" s="47"/>
      <c r="DX9" s="47"/>
      <c r="DY9" s="47"/>
      <c r="DZ9" s="47"/>
      <c r="EA9" s="47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40"/>
      <c r="EW9" s="40"/>
      <c r="EX9" s="40"/>
      <c r="EY9" s="40"/>
      <c r="EZ9" s="40"/>
      <c r="FA9" s="40"/>
      <c r="FB9" s="40"/>
      <c r="FC9" s="40"/>
      <c r="FD9" s="40"/>
      <c r="FE9" s="40"/>
      <c r="FF9" s="40"/>
      <c r="FG9" s="40"/>
      <c r="FH9" s="40"/>
      <c r="FI9" s="40"/>
      <c r="FJ9" s="40"/>
      <c r="FK9" s="40"/>
      <c r="FL9" s="40"/>
      <c r="FM9" s="40"/>
      <c r="FN9" s="40"/>
      <c r="FO9" s="40"/>
    </row>
    <row r="10" spans="2:245" s="34" customFormat="1" ht="15" customHeight="1">
      <c r="B10" s="37" t="s">
        <v>139</v>
      </c>
      <c r="C10" s="34">
        <f>(13+47/60+31/3600)</f>
        <v>13.791944444444445</v>
      </c>
      <c r="D10" s="34">
        <f>49+18.7/60</f>
        <v>49.311666666666667</v>
      </c>
      <c r="E10" s="38">
        <f>MOD(360-(C10+((3.075+1.336*SIN(RADIANS(C10))*TAN(RADIANS(D10)))*(OBSERVATIONS!$U$35-36526)/365)/3600)*15,360)</f>
        <v>152.7807336986231</v>
      </c>
      <c r="F10" s="38">
        <f>D10+(20.04*COS(RADIANS(C10*15))*(OBSERVATIONS!$U$35-36526)/365)/3600</f>
        <v>49.194037734607072</v>
      </c>
      <c r="G10" s="38">
        <f>-17.3*SIN(RADIANS(125-0.05295*(OBSERVATIONS!$U$35-2451545)))-1.4*SIN(RADIANS(200+1.97129*(OBSERVATIONS!$U$35-2451545)))</f>
        <v>-15.507213434549312</v>
      </c>
      <c r="H10" s="38">
        <f>9.4*COS(RADIANS(125-0.05295*(OBSERVATIONS!$U$35-2451545)))+0.7*COS(RADIANS(200+1.97129*(OBSERVATIONS!$U$35-2451545)))</f>
        <v>-2.1041300782981658</v>
      </c>
      <c r="I10" s="41">
        <f t="shared" si="228"/>
        <v>152.78187533740825</v>
      </c>
      <c r="J10" s="41">
        <f t="shared" si="229"/>
        <v>49.195426815090286</v>
      </c>
      <c r="L10" s="39"/>
      <c r="N10" s="40"/>
      <c r="O10" s="40" t="s">
        <v>132</v>
      </c>
      <c r="P10" s="40">
        <v>0</v>
      </c>
      <c r="Q10" s="40"/>
      <c r="R10" s="40"/>
      <c r="S10" s="40"/>
      <c r="T10" s="40"/>
      <c r="U10" s="40"/>
      <c r="V10" s="40"/>
      <c r="W10" s="40"/>
      <c r="X10" s="40"/>
      <c r="Y10" s="40">
        <f>MOD(V$4+OBSERVATIONS!$AO$13+I5,360)</f>
        <v>327.42637539187047</v>
      </c>
      <c r="Z10" s="40">
        <f t="shared" si="238"/>
        <v>32.573624608129535</v>
      </c>
      <c r="AA10" s="40">
        <f t="shared" ref="AA10:AA42" si="247">J5</f>
        <v>-57.124839947769274</v>
      </c>
      <c r="AB10" s="40">
        <f t="shared" si="239"/>
        <v>0</v>
      </c>
      <c r="AC10" s="40">
        <f>ABS(TAN(RADIANS(ABS(OBSERVATIONS!$AO$12)))/TAN(RADIANS(ABS(Z10))))</f>
        <v>2.2836995843613801</v>
      </c>
      <c r="AD10" s="40">
        <f>IF(AB10=0,IF(OBSERVATIONS!$AY$35="N",-AC10,AC10),IF(OBSERVATIONS!$AY$35="N",AC10,-AC10))</f>
        <v>-2.2836995843613801</v>
      </c>
      <c r="AE10" s="40">
        <f t="shared" si="240"/>
        <v>-2.8738561797750863</v>
      </c>
      <c r="AF10" s="40">
        <f t="shared" si="241"/>
        <v>-5.1575557641364664</v>
      </c>
      <c r="AG10" s="40">
        <f>ABS(DEGREES(ATAN(1/(COS(RADIANS(ABS(OBSERVATIONS!$AO$12)))*AF10))))</f>
        <v>18.929693253166459</v>
      </c>
      <c r="AH10" s="40">
        <f t="shared" si="242"/>
        <v>161.07030674683355</v>
      </c>
      <c r="AI10" s="40">
        <f>AA10-OBSERVATIONS!$AO$12</f>
        <v>-112.69817328110261</v>
      </c>
      <c r="AJ10" s="44">
        <f>DEGREES(ASIN(SIN(RADIANS(OBSERVATIONS!$AO$12))*SIN(RADIANS(AA10))+COS(RADIANS(OBSERVATIONS!$AO$12))*COS(RADIANS(AA10))*COS(RADIANS(Y10))))</f>
        <v>-25.73112393139743</v>
      </c>
      <c r="AK10" s="44">
        <f t="shared" si="243"/>
        <v>-25.73112393139743</v>
      </c>
      <c r="AL10" s="34" t="s">
        <v>132</v>
      </c>
      <c r="AM10" s="44">
        <f t="shared" si="244"/>
        <v>161.07030674683355</v>
      </c>
      <c r="AN10" s="44">
        <f t="shared" si="245"/>
        <v>-25.73112393139743</v>
      </c>
      <c r="AO10" s="44"/>
      <c r="AP10" s="44"/>
      <c r="AQ10" s="44"/>
      <c r="AR10" s="44"/>
      <c r="AS10" s="40"/>
      <c r="AT10" s="44"/>
      <c r="AU10" s="40"/>
      <c r="AV10" s="44"/>
      <c r="AW10" s="40"/>
      <c r="AX10" s="44"/>
      <c r="AY10" s="40"/>
      <c r="AZ10" s="40"/>
      <c r="BA10" s="40"/>
      <c r="BB10" s="40"/>
      <c r="BC10" s="40"/>
      <c r="BD10" s="41"/>
      <c r="BF10" s="41"/>
      <c r="BH10" s="41"/>
      <c r="BI10" s="41"/>
      <c r="BJ10" s="41"/>
      <c r="BK10" s="41"/>
      <c r="BL10" s="41"/>
      <c r="BN10" s="41"/>
      <c r="BO10" s="41"/>
      <c r="BP10" s="41"/>
      <c r="BQ10" s="41"/>
      <c r="BX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L10" s="41"/>
      <c r="CM10" s="41"/>
      <c r="CN10" s="41"/>
      <c r="CO10" s="41"/>
      <c r="CP10" s="41"/>
      <c r="CR10" s="41"/>
      <c r="CS10" s="41"/>
      <c r="CT10" s="41"/>
      <c r="CU10" s="41"/>
      <c r="CV10" s="41"/>
      <c r="CW10" s="40"/>
      <c r="CX10" s="40"/>
      <c r="CY10" s="44"/>
      <c r="CZ10" s="40"/>
      <c r="DA10" s="40"/>
      <c r="DB10" s="40"/>
      <c r="DC10" s="40"/>
      <c r="DD10" s="40"/>
      <c r="DE10" s="40"/>
      <c r="DF10" s="40"/>
      <c r="DG10" s="40"/>
      <c r="DH10" s="40"/>
      <c r="DI10" s="40"/>
      <c r="DJ10" s="40"/>
      <c r="DK10" s="40"/>
      <c r="DL10" s="40"/>
      <c r="DM10" s="40"/>
      <c r="DN10" s="40"/>
      <c r="DO10" s="40"/>
      <c r="DP10" s="40"/>
      <c r="DQ10" s="47"/>
      <c r="DR10" s="47"/>
      <c r="DS10" s="47"/>
      <c r="DT10" s="47"/>
      <c r="DU10" s="47"/>
      <c r="DV10" s="47"/>
      <c r="DW10" s="47"/>
      <c r="DX10" s="47"/>
      <c r="DY10" s="47"/>
      <c r="DZ10" s="47"/>
      <c r="EA10" s="47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40"/>
      <c r="EW10" s="40"/>
      <c r="EX10" s="40"/>
      <c r="EY10" s="40"/>
      <c r="EZ10" s="40"/>
      <c r="FA10" s="40"/>
      <c r="FB10" s="40"/>
      <c r="FC10" s="40"/>
      <c r="FD10" s="40"/>
      <c r="FE10" s="40"/>
      <c r="FF10" s="40"/>
      <c r="FG10" s="40"/>
      <c r="FH10" s="40"/>
      <c r="FI10" s="40"/>
      <c r="FJ10" s="40"/>
      <c r="FK10" s="40"/>
      <c r="FL10" s="40"/>
      <c r="FM10" s="40"/>
      <c r="FN10" s="40"/>
      <c r="FO10" s="40"/>
    </row>
    <row r="11" spans="2:245" s="34" customFormat="1" ht="15" customHeight="1">
      <c r="B11" s="37" t="s">
        <v>140</v>
      </c>
      <c r="C11" s="34">
        <f>(22+8/60+11/3600)</f>
        <v>22.136388888888888</v>
      </c>
      <c r="D11" s="34">
        <f>-46-57.9/60</f>
        <v>-46.965000000000003</v>
      </c>
      <c r="E11" s="38">
        <f>MOD(360-(C11+((3.075+1.336*SIN(RADIANS(C11))*TAN(RADIANS(D11)))*(OBSERVATIONS!$U$35-36526)/365)/3600)*15,360)</f>
        <v>27.703857033892746</v>
      </c>
      <c r="F11" s="38">
        <f>D11+(20.04*COS(RADIANS(C11*15))*(OBSERVATIONS!$U$35-36526)/365)/3600</f>
        <v>-46.84851036588713</v>
      </c>
      <c r="G11" s="38">
        <f>-17.3*SIN(RADIANS(125-0.05295*(OBSERVATIONS!$U$35-2451545)))-1.4*SIN(RADIANS(200+1.97129*(OBSERVATIONS!$U$35-2451545)))</f>
        <v>-15.507213434549312</v>
      </c>
      <c r="H11" s="38">
        <f>9.4*COS(RADIANS(125-0.05295*(OBSERVATIONS!$U$35-2451545)))+0.7*COS(RADIANS(200+1.97129*(OBSERVATIONS!$U$35-2451545)))</f>
        <v>-2.1041300782981658</v>
      </c>
      <c r="I11" s="41">
        <f t="shared" si="228"/>
        <v>27.703428648547678</v>
      </c>
      <c r="J11" s="41">
        <f t="shared" si="229"/>
        <v>-46.850244220863736</v>
      </c>
      <c r="L11" s="39"/>
      <c r="N11" s="40"/>
      <c r="O11" s="42" t="s">
        <v>133</v>
      </c>
      <c r="P11" s="40">
        <v>0</v>
      </c>
      <c r="Q11" s="40"/>
      <c r="R11" s="40"/>
      <c r="S11" s="40"/>
      <c r="T11" s="40"/>
      <c r="U11" s="40"/>
      <c r="V11" s="40"/>
      <c r="W11" s="40"/>
      <c r="X11" s="40"/>
      <c r="Y11" s="40">
        <f>MOD(V$4+OBSERVATIONS!$AO$13+I6,360)</f>
        <v>165.25685590851822</v>
      </c>
      <c r="Z11" s="40">
        <f t="shared" si="238"/>
        <v>165.25685590851822</v>
      </c>
      <c r="AA11" s="40">
        <f t="shared" si="247"/>
        <v>-63.221079954918892</v>
      </c>
      <c r="AB11" s="40">
        <f t="shared" si="239"/>
        <v>1</v>
      </c>
      <c r="AC11" s="40">
        <f>ABS(TAN(RADIANS(ABS(OBSERVATIONS!$AO$12)))/TAN(RADIANS(ABS(Z11))))</f>
        <v>5.5443874946686913</v>
      </c>
      <c r="AD11" s="40">
        <f>IF(AB11=0,IF(OBSERVATIONS!$AY$35="N",-AC11,AC11),IF(OBSERVATIONS!$AY$35="N",AC11,-AC11))</f>
        <v>5.5443874946686913</v>
      </c>
      <c r="AE11" s="40">
        <f t="shared" si="240"/>
        <v>-7.786176183748367</v>
      </c>
      <c r="AF11" s="40">
        <f t="shared" si="241"/>
        <v>-2.2417886890796757</v>
      </c>
      <c r="AG11" s="40">
        <f>ABS(DEGREES(ATAN(1/(COS(RADIANS(ABS(OBSERVATIONS!$AO$12)))*AF11))))</f>
        <v>38.274093237469721</v>
      </c>
      <c r="AH11" s="40">
        <f t="shared" si="242"/>
        <v>218.27409323746971</v>
      </c>
      <c r="AI11" s="40">
        <f>AA11-OBSERVATIONS!$AO$12</f>
        <v>-118.79441328825223</v>
      </c>
      <c r="AJ11" s="44">
        <f>DEGREES(ASIN(SIN(RADIANS(OBSERVATIONS!$AO$12))*SIN(RADIANS(AA11))+COS(RADIANS(OBSERVATIONS!$AO$12))*COS(RADIANS(AA11))*COS(RADIANS(Y11))))</f>
        <v>-79.332741711059541</v>
      </c>
      <c r="AK11" s="44">
        <f t="shared" si="243"/>
        <v>-79.332741711059541</v>
      </c>
      <c r="AL11" s="37" t="s">
        <v>133</v>
      </c>
      <c r="AM11" s="44">
        <f t="shared" si="244"/>
        <v>218.27409323746971</v>
      </c>
      <c r="AN11" s="44">
        <f t="shared" si="245"/>
        <v>-79.332741711059541</v>
      </c>
      <c r="AO11" s="44"/>
      <c r="AP11" s="44"/>
      <c r="AQ11" s="44"/>
      <c r="AR11" s="44"/>
      <c r="AS11" s="40"/>
      <c r="AT11" s="44"/>
      <c r="AU11" s="40"/>
      <c r="AV11" s="44"/>
      <c r="AW11" s="40"/>
      <c r="AX11" s="44"/>
      <c r="AY11" s="40"/>
      <c r="AZ11" s="40"/>
      <c r="BA11" s="40"/>
      <c r="BB11" s="40"/>
      <c r="BC11" s="40"/>
      <c r="BD11" s="41"/>
      <c r="BF11" s="41"/>
      <c r="BH11" s="41"/>
      <c r="BI11" s="41"/>
      <c r="BJ11" s="41"/>
      <c r="BK11" s="41"/>
      <c r="BL11" s="41"/>
      <c r="BN11" s="41"/>
      <c r="BO11" s="41"/>
      <c r="BP11" s="41"/>
      <c r="BQ11" s="41"/>
      <c r="BX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L11" s="41"/>
      <c r="CM11" s="41"/>
      <c r="CN11" s="41"/>
      <c r="CO11" s="41"/>
      <c r="CP11" s="41"/>
      <c r="CR11" s="41"/>
      <c r="CS11" s="41"/>
      <c r="CT11" s="41"/>
      <c r="CU11" s="41"/>
      <c r="CV11" s="41"/>
      <c r="CW11" s="40"/>
      <c r="CX11" s="40"/>
      <c r="CY11" s="44"/>
      <c r="CZ11" s="40"/>
      <c r="DA11" s="40"/>
      <c r="DB11" s="40"/>
      <c r="DC11" s="40"/>
      <c r="DD11" s="40"/>
      <c r="DE11" s="40"/>
      <c r="DF11" s="40"/>
      <c r="DG11" s="40"/>
      <c r="DH11" s="40"/>
      <c r="DI11" s="40"/>
      <c r="DJ11" s="40"/>
      <c r="DK11" s="40"/>
      <c r="DL11" s="40"/>
      <c r="DM11" s="40"/>
      <c r="DN11" s="40"/>
      <c r="DO11" s="40"/>
      <c r="DP11" s="40"/>
      <c r="DQ11" s="47"/>
      <c r="DR11" s="47"/>
      <c r="DS11" s="47"/>
      <c r="DT11" s="47"/>
      <c r="DU11" s="47"/>
      <c r="DV11" s="47"/>
      <c r="DW11" s="47"/>
      <c r="DX11" s="47"/>
      <c r="DY11" s="47"/>
      <c r="DZ11" s="47"/>
      <c r="EA11" s="47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40"/>
      <c r="EW11" s="40"/>
      <c r="EX11" s="40"/>
      <c r="EY11" s="40"/>
      <c r="EZ11" s="40"/>
      <c r="FA11" s="40"/>
      <c r="FB11" s="40"/>
      <c r="FC11" s="40"/>
      <c r="FD11" s="40"/>
      <c r="FE11" s="40"/>
      <c r="FF11" s="40"/>
      <c r="FG11" s="40"/>
      <c r="FH11" s="40"/>
      <c r="FI11" s="40"/>
      <c r="FJ11" s="40"/>
      <c r="FK11" s="40"/>
      <c r="FL11" s="40"/>
      <c r="FM11" s="40"/>
      <c r="FN11" s="40"/>
      <c r="FO11" s="40"/>
    </row>
    <row r="12" spans="2:245" s="34" customFormat="1" ht="15" customHeight="1">
      <c r="B12" s="37" t="s">
        <v>141</v>
      </c>
      <c r="C12" s="34">
        <f>(5+36/60+13/3600)</f>
        <v>5.6036111111111104</v>
      </c>
      <c r="D12" s="34">
        <f>-1-11.7/60</f>
        <v>-1.1950000000000001</v>
      </c>
      <c r="E12" s="38">
        <f>MOD(360-(C12+((3.075+1.336*SIN(RADIANS(C12))*TAN(RADIANS(D12)))*(OBSERVATIONS!$U$35-36526)/365)/3600)*15,360)</f>
        <v>275.64256855705014</v>
      </c>
      <c r="F12" s="38">
        <f>D12+(20.04*COS(RADIANS(C12*15))*(OBSERVATIONS!$U$35-36526)/365)/3600</f>
        <v>-1.1813391370283899</v>
      </c>
      <c r="G12" s="38">
        <f>-17.3*SIN(RADIANS(125-0.05295*(OBSERVATIONS!$U$35-2451545)))-1.4*SIN(RADIANS(200+1.97129*(OBSERVATIONS!$U$35-2451545)))</f>
        <v>-15.507213434549312</v>
      </c>
      <c r="H12" s="38">
        <f>9.4*COS(RADIANS(125-0.05295*(OBSERVATIONS!$U$35-2451545)))+0.7*COS(RADIANS(200+1.97129*(OBSERVATIONS!$U$35-2451545)))</f>
        <v>-2.1041300782981658</v>
      </c>
      <c r="I12" s="41">
        <f t="shared" si="228"/>
        <v>275.642874584391</v>
      </c>
      <c r="J12" s="41">
        <f t="shared" si="229"/>
        <v>-1.1815737122728249</v>
      </c>
      <c r="L12" s="39"/>
      <c r="N12" s="40"/>
      <c r="O12" s="42" t="s">
        <v>134</v>
      </c>
      <c r="P12" s="40">
        <v>0</v>
      </c>
      <c r="Q12" s="40"/>
      <c r="R12" s="40"/>
      <c r="S12" s="40"/>
      <c r="T12" s="40"/>
      <c r="U12" s="40"/>
      <c r="V12" s="40"/>
      <c r="W12" s="40"/>
      <c r="X12" s="40"/>
      <c r="Y12" s="40">
        <f>MOD(V$4+OBSERVATIONS!$AO$13+I7,360)</f>
        <v>247.19739421657505</v>
      </c>
      <c r="Z12" s="40">
        <f t="shared" si="238"/>
        <v>112.80260578342495</v>
      </c>
      <c r="AA12" s="40">
        <f t="shared" si="247"/>
        <v>-29.006351839785729</v>
      </c>
      <c r="AB12" s="40">
        <f t="shared" si="239"/>
        <v>1</v>
      </c>
      <c r="AC12" s="40">
        <f>ABS(TAN(RADIANS(ABS(OBSERVATIONS!$AO$12)))/TAN(RADIANS(ABS(Z12))))</f>
        <v>0.61338773599429808</v>
      </c>
      <c r="AD12" s="40">
        <f>IF(AB12=0,IF(OBSERVATIONS!$AY$35="N",-AC12,AC12),IF(OBSERVATIONS!$AY$35="N",AC12,-AC12))</f>
        <v>0.61338773599429808</v>
      </c>
      <c r="AE12" s="40">
        <f t="shared" si="240"/>
        <v>-0.60146083883442303</v>
      </c>
      <c r="AF12" s="40">
        <f t="shared" si="241"/>
        <v>1.192689715987505E-2</v>
      </c>
      <c r="AG12" s="40">
        <f>ABS(DEGREES(ATAN(1/(COS(RADIANS(ABS(OBSERVATIONS!$AO$12)))*AF12))))</f>
        <v>89.613667126029938</v>
      </c>
      <c r="AH12" s="40">
        <f t="shared" si="242"/>
        <v>89.613667126029938</v>
      </c>
      <c r="AI12" s="40">
        <f>AA12-OBSERVATIONS!$AO$12</f>
        <v>-84.57968517311906</v>
      </c>
      <c r="AJ12" s="44">
        <f>DEGREES(ASIN(SIN(RADIANS(OBSERVATIONS!$AO$12))*SIN(RADIANS(AA12))+COS(RADIANS(OBSERVATIONS!$AO$12))*COS(RADIANS(AA12))*COS(RADIANS(Y12))))</f>
        <v>-36.270494674115554</v>
      </c>
      <c r="AK12" s="44">
        <f t="shared" si="243"/>
        <v>-36.270494674115554</v>
      </c>
      <c r="AL12" s="37" t="s">
        <v>134</v>
      </c>
      <c r="AM12" s="44">
        <f t="shared" si="244"/>
        <v>89.613667126029938</v>
      </c>
      <c r="AN12" s="44">
        <f t="shared" si="245"/>
        <v>-36.270494674115554</v>
      </c>
      <c r="AO12" s="44"/>
      <c r="AP12" s="44"/>
      <c r="AQ12" s="44"/>
      <c r="AR12" s="44"/>
      <c r="AS12" s="40"/>
      <c r="AT12" s="44"/>
      <c r="AU12" s="40"/>
      <c r="AV12" s="44"/>
      <c r="AW12" s="40"/>
      <c r="AX12" s="44"/>
      <c r="AY12" s="40"/>
      <c r="AZ12" s="40"/>
      <c r="BA12" s="40"/>
      <c r="BB12" s="40"/>
      <c r="BC12" s="40"/>
      <c r="BD12" s="41"/>
      <c r="BF12" s="41"/>
      <c r="BH12" s="41"/>
      <c r="BI12" s="41"/>
      <c r="BJ12" s="41"/>
      <c r="BK12" s="41"/>
      <c r="BL12" s="41"/>
      <c r="BN12" s="41"/>
      <c r="BO12" s="41"/>
      <c r="BP12" s="41"/>
      <c r="BQ12" s="41"/>
      <c r="BX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L12" s="41"/>
      <c r="CM12" s="41"/>
      <c r="CN12" s="41"/>
      <c r="CO12" s="41"/>
      <c r="CP12" s="41"/>
      <c r="CR12" s="41"/>
      <c r="CS12" s="41"/>
      <c r="CT12" s="41"/>
      <c r="CU12" s="41"/>
      <c r="CV12" s="41"/>
      <c r="CW12" s="40"/>
      <c r="CX12" s="40"/>
      <c r="CY12" s="44"/>
      <c r="CZ12" s="40"/>
      <c r="DA12" s="40"/>
      <c r="DB12" s="40"/>
      <c r="DC12" s="40"/>
      <c r="DD12" s="40"/>
      <c r="DE12" s="40"/>
      <c r="DF12" s="40"/>
      <c r="DG12" s="40"/>
      <c r="DH12" s="40"/>
      <c r="DI12" s="40"/>
      <c r="DJ12" s="40"/>
      <c r="DK12" s="40"/>
      <c r="DL12" s="40"/>
      <c r="DM12" s="40"/>
      <c r="DN12" s="40"/>
      <c r="DO12" s="40"/>
      <c r="DP12" s="40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40"/>
      <c r="EW12" s="40"/>
      <c r="EX12" s="40"/>
      <c r="EY12" s="40"/>
      <c r="EZ12" s="40"/>
      <c r="FA12" s="40"/>
      <c r="FB12" s="40"/>
      <c r="FC12" s="40"/>
      <c r="FD12" s="40"/>
      <c r="FE12" s="40"/>
      <c r="FF12" s="40"/>
      <c r="FG12" s="40"/>
      <c r="FH12" s="40"/>
      <c r="FI12" s="40"/>
      <c r="FJ12" s="40"/>
      <c r="FK12" s="40"/>
      <c r="FL12" s="40"/>
      <c r="FM12" s="40"/>
      <c r="FN12" s="40"/>
      <c r="FO12" s="40"/>
    </row>
    <row r="13" spans="2:245" s="34" customFormat="1" ht="15" customHeight="1">
      <c r="B13" s="37" t="s">
        <v>142</v>
      </c>
      <c r="C13" s="34">
        <f>(9+27/60+36/3600)</f>
        <v>9.4599999999999991</v>
      </c>
      <c r="D13" s="34">
        <f>-8-39.5/60</f>
        <v>-8.6583333333333332</v>
      </c>
      <c r="E13" s="38">
        <f>MOD(360-(C13+((3.075+1.336*SIN(RADIANS(C13))*TAN(RADIANS(D13)))*(OBSERVATIONS!$U$35-36526)/365)/3600)*15,360)</f>
        <v>217.79976723771722</v>
      </c>
      <c r="F13" s="38">
        <f>D13+(20.04*COS(RADIANS(C13*15))*(OBSERVATIONS!$U$35-36526)/365)/3600</f>
        <v>-8.7621116649797486</v>
      </c>
      <c r="G13" s="38">
        <f>-17.3*SIN(RADIANS(125-0.05295*(OBSERVATIONS!$U$35-2451545)))-1.4*SIN(RADIANS(200+1.97129*(OBSERVATIONS!$U$35-2451545)))</f>
        <v>-15.507213434549312</v>
      </c>
      <c r="H13" s="38">
        <f>9.4*COS(RADIANS(125-0.05295*(OBSERVATIONS!$U$35-2451545)))+0.7*COS(RADIANS(200+1.97129*(OBSERVATIONS!$U$35-2451545)))</f>
        <v>-2.1041300782981658</v>
      </c>
      <c r="I13" s="41">
        <f t="shared" si="228"/>
        <v>217.80072316400828</v>
      </c>
      <c r="J13" s="41">
        <f t="shared" si="229"/>
        <v>-8.7608592794153068</v>
      </c>
      <c r="L13" s="39"/>
      <c r="N13" s="40"/>
      <c r="O13" s="42" t="s">
        <v>136</v>
      </c>
      <c r="P13" s="40">
        <v>0</v>
      </c>
      <c r="Q13" s="40"/>
      <c r="R13" s="40"/>
      <c r="S13" s="40"/>
      <c r="T13" s="40"/>
      <c r="U13" s="40"/>
      <c r="V13" s="40"/>
      <c r="W13" s="40"/>
      <c r="X13" s="40"/>
      <c r="Y13" s="40">
        <f>MOD(V$4+OBSERVATIONS!$AO$13+I8,360)</f>
        <v>282.86248589798254</v>
      </c>
      <c r="Z13" s="40">
        <f t="shared" si="238"/>
        <v>77.137514102017462</v>
      </c>
      <c r="AA13" s="40">
        <f t="shared" si="247"/>
        <v>16.554968089916549</v>
      </c>
      <c r="AB13" s="40">
        <f t="shared" si="239"/>
        <v>0</v>
      </c>
      <c r="AC13" s="40">
        <f>ABS(TAN(RADIANS(ABS(OBSERVATIONS!$AO$12)))/TAN(RADIANS(ABS(Z13))))</f>
        <v>0.33315175032046618</v>
      </c>
      <c r="AD13" s="40">
        <f>IF(AB13=0,IF(OBSERVATIONS!$AY$35="N",-AC13,AC13),IF(OBSERVATIONS!$AY$35="N",AC13,-AC13))</f>
        <v>-0.33315175032046618</v>
      </c>
      <c r="AE13" s="40">
        <f t="shared" si="240"/>
        <v>0.30490836152853273</v>
      </c>
      <c r="AF13" s="40">
        <f t="shared" si="241"/>
        <v>-2.8243388791933444E-2</v>
      </c>
      <c r="AG13" s="40">
        <f>ABS(DEGREES(ATAN(1/(COS(RADIANS(ABS(OBSERVATIONS!$AO$12)))*AF13))))</f>
        <v>89.08521155214153</v>
      </c>
      <c r="AH13" s="40">
        <f t="shared" si="242"/>
        <v>90.91478844785847</v>
      </c>
      <c r="AI13" s="40">
        <f>AA13-OBSERVATIONS!$AO$12</f>
        <v>-39.018365243416781</v>
      </c>
      <c r="AJ13" s="44">
        <f>DEGREES(ASIN(SIN(RADIANS(OBSERVATIONS!$AO$12))*SIN(RADIANS(AA13))+COS(RADIANS(OBSERVATIONS!$AO$12))*COS(RADIANS(AA13))*COS(RADIANS(Y13))))</f>
        <v>20.834243901650417</v>
      </c>
      <c r="AK13" s="44">
        <f t="shared" si="243"/>
        <v>20.834243901650417</v>
      </c>
      <c r="AL13" s="37" t="s">
        <v>136</v>
      </c>
      <c r="AM13" s="44">
        <f t="shared" si="244"/>
        <v>90.91478844785847</v>
      </c>
      <c r="AN13" s="44">
        <f t="shared" si="245"/>
        <v>20.834243901650417</v>
      </c>
      <c r="AO13" s="44"/>
      <c r="AP13" s="44"/>
      <c r="AQ13" s="44"/>
      <c r="AR13" s="44"/>
      <c r="AS13" s="40"/>
      <c r="AT13" s="44"/>
      <c r="AU13" s="40"/>
      <c r="AV13" s="44"/>
      <c r="AW13" s="40"/>
      <c r="AX13" s="44"/>
      <c r="AY13" s="40"/>
      <c r="AZ13" s="40"/>
      <c r="BA13" s="40"/>
      <c r="BB13" s="40"/>
      <c r="BC13" s="40"/>
      <c r="BD13" s="41"/>
      <c r="BF13" s="41"/>
      <c r="BH13" s="41"/>
      <c r="BI13" s="41"/>
      <c r="BJ13" s="41"/>
      <c r="BK13" s="41"/>
      <c r="BL13" s="41"/>
      <c r="BN13" s="41"/>
      <c r="BO13" s="41"/>
      <c r="BP13" s="41"/>
      <c r="BQ13" s="41"/>
      <c r="BX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L13" s="41"/>
      <c r="CM13" s="41"/>
      <c r="CN13" s="41"/>
      <c r="CO13" s="41"/>
      <c r="CP13" s="41"/>
      <c r="CR13" s="41"/>
      <c r="CS13" s="41"/>
      <c r="CT13" s="41"/>
      <c r="CU13" s="41"/>
      <c r="CV13" s="41"/>
      <c r="CW13" s="40"/>
      <c r="CX13" s="40"/>
      <c r="CY13" s="44"/>
      <c r="CZ13" s="40"/>
      <c r="DA13" s="40"/>
      <c r="DB13" s="40"/>
      <c r="DC13" s="40"/>
      <c r="DD13" s="40"/>
      <c r="DE13" s="40"/>
      <c r="DF13" s="40"/>
      <c r="DG13" s="40"/>
      <c r="DH13" s="40"/>
      <c r="DI13" s="40"/>
      <c r="DJ13" s="40"/>
      <c r="DK13" s="40"/>
      <c r="DL13" s="40"/>
      <c r="DM13" s="40"/>
      <c r="DN13" s="40"/>
      <c r="DO13" s="40"/>
      <c r="DP13" s="40"/>
      <c r="DQ13" s="47"/>
      <c r="DR13" s="47"/>
      <c r="DS13" s="47"/>
      <c r="DT13" s="47"/>
      <c r="DU13" s="47"/>
      <c r="DV13" s="47"/>
      <c r="DW13" s="47"/>
      <c r="DX13" s="47"/>
      <c r="DY13" s="47"/>
      <c r="DZ13" s="47"/>
      <c r="EA13" s="47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40"/>
      <c r="EW13" s="40"/>
      <c r="EX13" s="40"/>
      <c r="EY13" s="40"/>
      <c r="EZ13" s="40"/>
      <c r="FA13" s="40"/>
      <c r="FB13" s="40"/>
      <c r="FC13" s="40"/>
      <c r="FD13" s="40"/>
      <c r="FE13" s="40"/>
      <c r="FF13" s="40"/>
      <c r="FG13" s="40"/>
      <c r="FH13" s="40"/>
      <c r="FI13" s="40"/>
      <c r="FJ13" s="40"/>
      <c r="FK13" s="40"/>
      <c r="FL13" s="40"/>
      <c r="FM13" s="40"/>
      <c r="FN13" s="40"/>
      <c r="FO13" s="40"/>
    </row>
    <row r="14" spans="2:245" s="34" customFormat="1" ht="15" customHeight="1">
      <c r="B14" s="37" t="s">
        <v>143</v>
      </c>
      <c r="C14" s="34">
        <f>(15+34/60+39/3600)</f>
        <v>15.577500000000001</v>
      </c>
      <c r="D14" s="34">
        <f>26+42.9/60</f>
        <v>26.715</v>
      </c>
      <c r="E14" s="38">
        <f>MOD(360-(C14+((3.075+1.336*SIN(RADIANS(C14))*TAN(RADIANS(D14)))*(OBSERVATIONS!$U$35-36526)/365)/3600)*15,360)</f>
        <v>126.01614342664482</v>
      </c>
      <c r="F14" s="38">
        <f>D14+(20.04*COS(RADIANS(C14*15))*(OBSERVATIONS!$U$35-36526)/365)/3600</f>
        <v>26.636857756991294</v>
      </c>
      <c r="G14" s="38">
        <f>-17.3*SIN(RADIANS(125-0.05295*(OBSERVATIONS!$U$35-2451545)))-1.4*SIN(RADIANS(200+1.97129*(OBSERVATIONS!$U$35-2451545)))</f>
        <v>-15.507213434549312</v>
      </c>
      <c r="H14" s="38">
        <f>9.4*COS(RADIANS(125-0.05295*(OBSERVATIONS!$U$35-2451545)))+0.7*COS(RADIANS(200+1.97129*(OBSERVATIONS!$U$35-2451545)))</f>
        <v>-2.1041300782981658</v>
      </c>
      <c r="I14" s="41">
        <f t="shared" si="228"/>
        <v>126.01470539112498</v>
      </c>
      <c r="J14" s="41">
        <f t="shared" si="229"/>
        <v>26.637716145760272</v>
      </c>
      <c r="L14" s="39"/>
      <c r="N14" s="40"/>
      <c r="O14" s="42" t="s">
        <v>138</v>
      </c>
      <c r="P14" s="40">
        <v>0</v>
      </c>
      <c r="Q14" s="40"/>
      <c r="R14" s="40"/>
      <c r="S14" s="40"/>
      <c r="T14" s="40"/>
      <c r="U14" s="40"/>
      <c r="V14" s="40"/>
      <c r="W14" s="40"/>
      <c r="X14" s="40"/>
      <c r="Y14" s="40">
        <f>MOD(V$4+OBSERVATIONS!$AO$13+I9,360)</f>
        <v>158.30671433601469</v>
      </c>
      <c r="Z14" s="40">
        <f t="shared" si="238"/>
        <v>158.30671433601469</v>
      </c>
      <c r="AA14" s="40">
        <f t="shared" si="247"/>
        <v>55.829969523483619</v>
      </c>
      <c r="AB14" s="40">
        <f t="shared" si="239"/>
        <v>1</v>
      </c>
      <c r="AC14" s="40">
        <f>ABS(TAN(RADIANS(ABS(OBSERVATIONS!$AO$12)))/TAN(RADIANS(ABS(Z14))))</f>
        <v>3.6675712095711037</v>
      </c>
      <c r="AD14" s="40">
        <f>IF(AB14=0,IF(OBSERVATIONS!$AY$35="N",-AC14,AC14),IF(OBSERVATIONS!$AY$35="N",AC14,-AC14))</f>
        <v>3.6675712095711037</v>
      </c>
      <c r="AE14" s="40">
        <f t="shared" si="240"/>
        <v>3.9852847964546099</v>
      </c>
      <c r="AF14" s="40">
        <f t="shared" si="241"/>
        <v>7.6528560060257131</v>
      </c>
      <c r="AG14" s="40">
        <f>ABS(DEGREES(ATAN(1/(COS(RADIANS(ABS(OBSERVATIONS!$AO$12)))*AF14))))</f>
        <v>13.014298521966646</v>
      </c>
      <c r="AH14" s="40">
        <f t="shared" si="242"/>
        <v>346.98570147803338</v>
      </c>
      <c r="AI14" s="40">
        <f>AA14-OBSERVATIONS!$AO$12</f>
        <v>0.25663619015028871</v>
      </c>
      <c r="AJ14" s="44">
        <f>DEGREES(ASIN(SIN(RADIANS(OBSERVATIONS!$AO$12))*SIN(RADIANS(AA14))+COS(RADIANS(OBSERVATIONS!$AO$12))*COS(RADIANS(AA14))*COS(RADIANS(Y14))))</f>
        <v>22.794010502208646</v>
      </c>
      <c r="AK14" s="44">
        <f t="shared" si="243"/>
        <v>22.794010502208646</v>
      </c>
      <c r="AL14" s="37" t="s">
        <v>138</v>
      </c>
      <c r="AM14" s="44">
        <f t="shared" si="244"/>
        <v>346.98570147803338</v>
      </c>
      <c r="AN14" s="44">
        <f t="shared" si="245"/>
        <v>22.794010502208646</v>
      </c>
      <c r="AO14" s="44"/>
      <c r="AP14" s="44"/>
      <c r="AQ14" s="44"/>
      <c r="AR14" s="44"/>
      <c r="AS14" s="40"/>
      <c r="AT14" s="44"/>
      <c r="AU14" s="40"/>
      <c r="AV14" s="44"/>
      <c r="AW14" s="40"/>
      <c r="AX14" s="44"/>
      <c r="AY14" s="40"/>
      <c r="AZ14" s="40"/>
      <c r="BA14" s="40"/>
      <c r="BB14" s="40"/>
      <c r="BC14" s="40"/>
      <c r="BD14" s="41"/>
      <c r="BF14" s="41"/>
      <c r="BH14" s="41"/>
      <c r="BI14" s="41"/>
      <c r="BJ14" s="41"/>
      <c r="BK14" s="41"/>
      <c r="BL14" s="41"/>
      <c r="BN14" s="41"/>
      <c r="BO14" s="41"/>
      <c r="BP14" s="41"/>
      <c r="BQ14" s="41"/>
      <c r="BX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L14" s="41"/>
      <c r="CM14" s="41"/>
      <c r="CN14" s="41"/>
      <c r="CO14" s="41"/>
      <c r="CP14" s="41"/>
      <c r="CR14" s="41"/>
      <c r="CS14" s="41"/>
      <c r="CT14" s="41"/>
      <c r="CU14" s="41"/>
      <c r="CV14" s="41"/>
      <c r="CW14" s="40"/>
      <c r="CX14" s="40"/>
      <c r="CY14" s="44"/>
      <c r="CZ14" s="40"/>
      <c r="DA14" s="40"/>
      <c r="DB14" s="40"/>
      <c r="DC14" s="40"/>
      <c r="DD14" s="40"/>
      <c r="DE14" s="40"/>
      <c r="DF14" s="40"/>
      <c r="DG14" s="40"/>
      <c r="DH14" s="40"/>
      <c r="DI14" s="40"/>
      <c r="DJ14" s="40"/>
      <c r="DK14" s="40"/>
      <c r="DL14" s="40"/>
      <c r="DM14" s="40"/>
      <c r="DN14" s="40"/>
      <c r="DO14" s="40"/>
      <c r="DP14" s="40"/>
      <c r="DQ14" s="47"/>
      <c r="DR14" s="47"/>
      <c r="DS14" s="47"/>
      <c r="DT14" s="47"/>
      <c r="DU14" s="47"/>
      <c r="DV14" s="47"/>
      <c r="DW14" s="47"/>
      <c r="DX14" s="47"/>
      <c r="DY14" s="47"/>
      <c r="DZ14" s="47"/>
      <c r="EA14" s="47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40"/>
      <c r="EW14" s="40"/>
      <c r="EX14" s="40"/>
      <c r="EY14" s="40"/>
      <c r="EZ14" s="40"/>
      <c r="FA14" s="40"/>
      <c r="FB14" s="40"/>
      <c r="FC14" s="40"/>
      <c r="FD14" s="40"/>
      <c r="FE14" s="40"/>
      <c r="FF14" s="40"/>
      <c r="FG14" s="40"/>
      <c r="FH14" s="40"/>
      <c r="FI14" s="40"/>
      <c r="FJ14" s="40"/>
      <c r="FK14" s="40"/>
      <c r="FL14" s="40"/>
      <c r="FM14" s="40"/>
      <c r="FN14" s="40"/>
      <c r="FO14" s="40"/>
    </row>
    <row r="15" spans="2:245" s="34" customFormat="1" ht="15" customHeight="1">
      <c r="B15" s="37" t="s">
        <v>144</v>
      </c>
      <c r="C15" s="34">
        <f>(0+8/60+22/3600)</f>
        <v>0.13944444444444445</v>
      </c>
      <c r="D15" s="34">
        <f>29+5.5/60</f>
        <v>29.091666666666665</v>
      </c>
      <c r="E15" s="38">
        <f>MOD(360-(C15+((3.075+1.336*SIN(RADIANS(C15))*TAN(RADIANS(D15)))*(OBSERVATIONS!$U$35-36526)/365)/3600)*15,360)</f>
        <v>357.60462136205012</v>
      </c>
      <c r="F15" s="38">
        <f>D15+(20.04*COS(RADIANS(C15*15))*(OBSERVATIONS!$U$35-36526)/365)/3600</f>
        <v>29.223455419969333</v>
      </c>
      <c r="G15" s="38">
        <f>-17.3*SIN(RADIANS(125-0.05295*(OBSERVATIONS!$U$35-2451545)))-1.4*SIN(RADIANS(200+1.97129*(OBSERVATIONS!$U$35-2451545)))</f>
        <v>-15.507213434549312</v>
      </c>
      <c r="H15" s="38">
        <f>9.4*COS(RADIANS(125-0.05295*(OBSERVATIONS!$U$35-2451545)))+0.7*COS(RADIANS(200+1.97129*(OBSERVATIONS!$U$35-2451545)))</f>
        <v>-2.1041300782981658</v>
      </c>
      <c r="I15" s="41">
        <f t="shared" si="228"/>
        <v>357.60516640919451</v>
      </c>
      <c r="J15" s="41">
        <f t="shared" si="229"/>
        <v>29.22174159211249</v>
      </c>
      <c r="L15" s="39"/>
      <c r="N15" s="40"/>
      <c r="O15" s="42" t="s">
        <v>139</v>
      </c>
      <c r="P15" s="40">
        <v>0</v>
      </c>
      <c r="Q15" s="40"/>
      <c r="R15" s="40"/>
      <c r="S15" s="40"/>
      <c r="T15" s="40"/>
      <c r="U15" s="40"/>
      <c r="V15" s="40"/>
      <c r="W15" s="40"/>
      <c r="X15" s="40"/>
      <c r="Y15" s="40">
        <f>MOD(V$4+OBSERVATIONS!$AO$13+I10,360)</f>
        <v>144.9346433001964</v>
      </c>
      <c r="Z15" s="40">
        <f t="shared" si="238"/>
        <v>144.9346433001964</v>
      </c>
      <c r="AA15" s="40">
        <f t="shared" si="247"/>
        <v>49.195426815090286</v>
      </c>
      <c r="AB15" s="40">
        <f t="shared" si="239"/>
        <v>1</v>
      </c>
      <c r="AC15" s="40">
        <f>ABS(TAN(RADIANS(ABS(OBSERVATIONS!$AO$12)))/TAN(RADIANS(ABS(Z15))))</f>
        <v>2.0786260202157396</v>
      </c>
      <c r="AD15" s="40">
        <f>IF(AB15=0,IF(OBSERVATIONS!$AY$35="N",-AC15,AC15),IF(OBSERVATIONS!$AY$35="N",AC15,-AC15))</f>
        <v>2.0786260202157396</v>
      </c>
      <c r="AE15" s="40">
        <f t="shared" si="240"/>
        <v>2.016193441892125</v>
      </c>
      <c r="AF15" s="40">
        <f t="shared" si="241"/>
        <v>4.0948194621078642</v>
      </c>
      <c r="AG15" s="40">
        <f>ABS(DEGREES(ATAN(1/(COS(RADIANS(ABS(OBSERVATIONS!$AO$12)))*AF15))))</f>
        <v>23.362584468637532</v>
      </c>
      <c r="AH15" s="40">
        <f t="shared" si="242"/>
        <v>336.63741553136248</v>
      </c>
      <c r="AI15" s="40">
        <f>AA15-OBSERVATIONS!$AO$12</f>
        <v>-6.3779065182430443</v>
      </c>
      <c r="AJ15" s="44">
        <f>DEGREES(ASIN(SIN(RADIANS(OBSERVATIONS!$AO$12))*SIN(RADIANS(AA15))+COS(RADIANS(OBSERVATIONS!$AO$12))*COS(RADIANS(AA15))*COS(RADIANS(Y15))))</f>
        <v>18.782349956068494</v>
      </c>
      <c r="AK15" s="44">
        <f t="shared" si="243"/>
        <v>18.782349956068494</v>
      </c>
      <c r="AL15" s="37" t="s">
        <v>139</v>
      </c>
      <c r="AM15" s="44">
        <f t="shared" si="244"/>
        <v>336.63741553136248</v>
      </c>
      <c r="AN15" s="44">
        <f t="shared" si="245"/>
        <v>18.782349956068494</v>
      </c>
      <c r="AO15" s="44"/>
      <c r="AP15" s="44"/>
      <c r="AQ15" s="44"/>
      <c r="AR15" s="44"/>
      <c r="AS15" s="40"/>
      <c r="AT15" s="44"/>
      <c r="AU15" s="40"/>
      <c r="AV15" s="44"/>
      <c r="AW15" s="40"/>
      <c r="AX15" s="44"/>
      <c r="AY15" s="40"/>
      <c r="AZ15" s="40"/>
      <c r="BA15" s="40"/>
      <c r="BB15" s="40"/>
      <c r="BC15" s="40"/>
      <c r="BD15" s="41"/>
      <c r="BF15" s="41"/>
      <c r="BH15" s="41"/>
      <c r="BI15" s="41"/>
      <c r="BJ15" s="41"/>
      <c r="BK15" s="41"/>
      <c r="BL15" s="41"/>
      <c r="BN15" s="41"/>
      <c r="BO15" s="41"/>
      <c r="BP15" s="41"/>
      <c r="BQ15" s="41"/>
      <c r="BX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L15" s="41"/>
      <c r="CM15" s="41"/>
      <c r="CN15" s="41"/>
      <c r="CO15" s="41"/>
      <c r="CP15" s="41"/>
      <c r="CR15" s="41"/>
      <c r="CS15" s="41"/>
      <c r="CT15" s="41"/>
      <c r="CU15" s="41"/>
      <c r="CV15" s="41"/>
      <c r="CW15" s="40"/>
      <c r="CX15" s="40"/>
      <c r="CY15" s="44"/>
      <c r="CZ15" s="40"/>
      <c r="DA15" s="40"/>
      <c r="DB15" s="40"/>
      <c r="DC15" s="40"/>
      <c r="DD15" s="40"/>
      <c r="DE15" s="40"/>
      <c r="DF15" s="40"/>
      <c r="DG15" s="40"/>
      <c r="DH15" s="40"/>
      <c r="DI15" s="40"/>
      <c r="DJ15" s="40"/>
      <c r="DK15" s="40"/>
      <c r="DL15" s="40"/>
      <c r="DM15" s="40"/>
      <c r="DN15" s="40"/>
      <c r="DO15" s="40"/>
      <c r="DP15" s="40"/>
      <c r="DQ15" s="47"/>
      <c r="DR15" s="47"/>
      <c r="DS15" s="47"/>
      <c r="DT15" s="47"/>
      <c r="DU15" s="47"/>
      <c r="DV15" s="47"/>
      <c r="DW15" s="47"/>
      <c r="DX15" s="47"/>
      <c r="DY15" s="47"/>
      <c r="DZ15" s="47"/>
      <c r="EA15" s="47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40"/>
      <c r="ER15" s="40"/>
      <c r="ES15" s="40"/>
      <c r="ET15" s="40"/>
      <c r="EU15" s="40"/>
      <c r="EV15" s="40"/>
      <c r="EW15" s="40"/>
      <c r="EX15" s="40"/>
      <c r="EY15" s="40"/>
      <c r="EZ15" s="40"/>
      <c r="FA15" s="40"/>
      <c r="FB15" s="40"/>
      <c r="FC15" s="40"/>
      <c r="FD15" s="40"/>
      <c r="FE15" s="40"/>
      <c r="FF15" s="40"/>
      <c r="FG15" s="40"/>
      <c r="FH15" s="40"/>
      <c r="FI15" s="40"/>
      <c r="FJ15" s="40"/>
      <c r="FK15" s="40"/>
      <c r="FL15" s="40"/>
      <c r="FM15" s="40"/>
      <c r="FN15" s="40"/>
      <c r="FO15" s="40"/>
    </row>
    <row r="16" spans="2:245" s="34" customFormat="1" ht="15" customHeight="1">
      <c r="B16" s="37" t="s">
        <v>145</v>
      </c>
      <c r="C16" s="34">
        <f>(19+50/60+45/3600)</f>
        <v>19.845833333333331</v>
      </c>
      <c r="D16" s="34">
        <f>8+52.1/60</f>
        <v>8.8683333333333341</v>
      </c>
      <c r="E16" s="38">
        <f>MOD(360-(C16+((3.075+1.336*SIN(RADIANS(C16))*TAN(RADIANS(D16)))*(OBSERVATIONS!$U$35-36526)/365)/3600)*15,360)</f>
        <v>62.001981029677722</v>
      </c>
      <c r="F16" s="38">
        <f>D16+(20.04*COS(RADIANS(C16*15))*(OBSERVATIONS!$U$35-36526)/365)/3600</f>
        <v>8.9296096564919125</v>
      </c>
      <c r="G16" s="38">
        <f>-17.3*SIN(RADIANS(125-0.05295*(OBSERVATIONS!$U$35-2451545)))-1.4*SIN(RADIANS(200+1.97129*(OBSERVATIONS!$U$35-2451545)))</f>
        <v>-15.507213434549312</v>
      </c>
      <c r="H16" s="38">
        <f>9.4*COS(RADIANS(125-0.05295*(OBSERVATIONS!$U$35-2451545)))+0.7*COS(RADIANS(200+1.97129*(OBSERVATIONS!$U$35-2451545)))</f>
        <v>-2.1041300782981658</v>
      </c>
      <c r="I16" s="41">
        <f t="shared" si="228"/>
        <v>62.00103637147231</v>
      </c>
      <c r="J16" s="41">
        <f t="shared" si="229"/>
        <v>8.9286150331909848</v>
      </c>
      <c r="L16" s="39"/>
      <c r="N16" s="40"/>
      <c r="O16" s="42" t="s">
        <v>140</v>
      </c>
      <c r="P16" s="40">
        <v>0</v>
      </c>
      <c r="Q16" s="40"/>
      <c r="R16" s="40"/>
      <c r="S16" s="40"/>
      <c r="T16" s="40"/>
      <c r="U16" s="40"/>
      <c r="V16" s="40"/>
      <c r="W16" s="40"/>
      <c r="X16" s="40"/>
      <c r="Y16" s="40">
        <f>MOD(V$4+OBSERVATIONS!$AO$13+I11,360)</f>
        <v>19.856196611335861</v>
      </c>
      <c r="Z16" s="40">
        <f t="shared" si="238"/>
        <v>19.856196611335861</v>
      </c>
      <c r="AA16" s="40">
        <f t="shared" si="247"/>
        <v>-46.850244220863736</v>
      </c>
      <c r="AB16" s="40">
        <f t="shared" si="239"/>
        <v>0</v>
      </c>
      <c r="AC16" s="40">
        <f>ABS(TAN(RADIANS(ABS(OBSERVATIONS!$AO$12)))/TAN(RADIANS(ABS(Z16))))</f>
        <v>4.040107533329758</v>
      </c>
      <c r="AD16" s="40">
        <f>IF(AB16=0,IF(OBSERVATIONS!$AY$35="N",-AC16,AC16),IF(OBSERVATIONS!$AY$35="N",AC16,-AC16))</f>
        <v>-4.040107533329758</v>
      </c>
      <c r="AE16" s="40">
        <f t="shared" si="240"/>
        <v>-3.1406792115925999</v>
      </c>
      <c r="AF16" s="40">
        <f t="shared" si="241"/>
        <v>-7.1807867449223579</v>
      </c>
      <c r="AG16" s="40">
        <f>ABS(DEGREES(ATAN(1/(COS(RADIANS(ABS(OBSERVATIONS!$AO$12)))*AF16))))</f>
        <v>13.837937800489881</v>
      </c>
      <c r="AH16" s="40">
        <f t="shared" si="242"/>
        <v>193.83793780048987</v>
      </c>
      <c r="AI16" s="40">
        <f>AA16-OBSERVATIONS!$AO$12</f>
        <v>-102.42357755419707</v>
      </c>
      <c r="AJ16" s="44">
        <f>DEGREES(ASIN(SIN(RADIANS(OBSERVATIONS!$AO$12))*SIN(RADIANS(AA16))+COS(RADIANS(OBSERVATIONS!$AO$12))*COS(RADIANS(AA16))*COS(RADIANS(Y16))))</f>
        <v>-13.775853867696313</v>
      </c>
      <c r="AK16" s="44">
        <f t="shared" si="243"/>
        <v>-13.775853867696313</v>
      </c>
      <c r="AL16" s="37" t="s">
        <v>140</v>
      </c>
      <c r="AM16" s="44">
        <f t="shared" si="244"/>
        <v>193.83793780048987</v>
      </c>
      <c r="AN16" s="44">
        <f t="shared" si="245"/>
        <v>-13.775853867696313</v>
      </c>
      <c r="AO16" s="44"/>
      <c r="AP16" s="44"/>
      <c r="AQ16" s="44"/>
      <c r="AR16" s="44"/>
      <c r="AS16" s="40"/>
      <c r="AT16" s="44"/>
      <c r="AU16" s="40"/>
      <c r="AV16" s="44"/>
      <c r="AW16" s="40"/>
      <c r="AX16" s="44"/>
      <c r="AY16" s="40"/>
      <c r="AZ16" s="40"/>
      <c r="BA16" s="40"/>
      <c r="BB16" s="40"/>
      <c r="BC16" s="40"/>
      <c r="BD16" s="41"/>
      <c r="BF16" s="41"/>
      <c r="BH16" s="41"/>
      <c r="BI16" s="41"/>
      <c r="BJ16" s="41"/>
      <c r="BK16" s="41"/>
      <c r="BL16" s="41"/>
      <c r="BN16" s="41"/>
      <c r="BO16" s="41"/>
      <c r="BP16" s="41"/>
      <c r="BQ16" s="41"/>
      <c r="BX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L16" s="41"/>
      <c r="CM16" s="41"/>
      <c r="CN16" s="41"/>
      <c r="CO16" s="41"/>
      <c r="CP16" s="41"/>
      <c r="CR16" s="41"/>
      <c r="CS16" s="41"/>
      <c r="CT16" s="41"/>
      <c r="CU16" s="41"/>
      <c r="CV16" s="41"/>
      <c r="CW16" s="40"/>
      <c r="CX16" s="40"/>
      <c r="CY16" s="44"/>
      <c r="CZ16" s="40"/>
      <c r="DA16" s="40"/>
      <c r="DB16" s="40"/>
      <c r="DC16" s="40"/>
      <c r="DD16" s="40"/>
      <c r="DE16" s="40"/>
      <c r="DF16" s="40"/>
      <c r="DG16" s="40"/>
      <c r="DH16" s="40"/>
      <c r="DI16" s="40"/>
      <c r="DJ16" s="40"/>
      <c r="DK16" s="40"/>
      <c r="DL16" s="40"/>
      <c r="DM16" s="40"/>
      <c r="DN16" s="40"/>
      <c r="DO16" s="40"/>
      <c r="DP16" s="40"/>
      <c r="DQ16" s="47"/>
      <c r="DR16" s="47"/>
      <c r="DS16" s="47"/>
      <c r="DT16" s="47"/>
      <c r="DU16" s="47"/>
      <c r="DV16" s="47"/>
      <c r="DW16" s="47"/>
      <c r="DX16" s="47"/>
      <c r="DY16" s="47"/>
      <c r="DZ16" s="47"/>
      <c r="EA16" s="47"/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40"/>
      <c r="EN16" s="40"/>
      <c r="EO16" s="40"/>
      <c r="EP16" s="40"/>
      <c r="EQ16" s="40"/>
      <c r="ER16" s="40"/>
      <c r="ES16" s="40"/>
      <c r="ET16" s="40"/>
      <c r="EU16" s="40"/>
      <c r="EV16" s="40"/>
      <c r="EW16" s="40"/>
      <c r="EX16" s="40"/>
      <c r="EY16" s="40"/>
      <c r="EZ16" s="40"/>
      <c r="FA16" s="40"/>
      <c r="FB16" s="40"/>
      <c r="FC16" s="40"/>
      <c r="FD16" s="40"/>
      <c r="FE16" s="40"/>
      <c r="FF16" s="40"/>
      <c r="FG16" s="40"/>
      <c r="FH16" s="40"/>
      <c r="FI16" s="40"/>
      <c r="FJ16" s="40"/>
      <c r="FK16" s="40"/>
      <c r="FL16" s="40"/>
      <c r="FM16" s="40"/>
      <c r="FN16" s="40"/>
      <c r="FO16" s="40"/>
    </row>
    <row r="17" spans="2:171" s="34" customFormat="1" ht="15" customHeight="1">
      <c r="B17" s="37" t="s">
        <v>146</v>
      </c>
      <c r="C17" s="34">
        <f>(0+26/60+16/3600)</f>
        <v>0.43777777777777777</v>
      </c>
      <c r="D17" s="34">
        <f>-42-18.7/60</f>
        <v>-42.311666666666667</v>
      </c>
      <c r="E17" s="38">
        <f>MOD(360-(C17+((3.075+1.336*SIN(RADIANS(C17))*TAN(RADIANS(D17)))*(OBSERVATIONS!$U$35-36526)/365)/3600)*15,360)</f>
        <v>353.13071717723329</v>
      </c>
      <c r="F17" s="38">
        <f>D17+(20.04*COS(RADIANS(C17*15))*(OBSERVATIONS!$U$35-36526)/365)/3600</f>
        <v>-42.180655226822203</v>
      </c>
      <c r="G17" s="38">
        <f>-17.3*SIN(RADIANS(125-0.05295*(OBSERVATIONS!$U$35-2451545)))-1.4*SIN(RADIANS(200+1.97129*(OBSERVATIONS!$U$35-2451545)))</f>
        <v>-15.507213434549312</v>
      </c>
      <c r="H17" s="38">
        <f>9.4*COS(RADIANS(125-0.05295*(OBSERVATIONS!$U$35-2451545)))+0.7*COS(RADIANS(200+1.97129*(OBSERVATIONS!$U$35-2451545)))</f>
        <v>-2.1041300782981658</v>
      </c>
      <c r="I17" s="41">
        <f t="shared" si="228"/>
        <v>353.13062192462206</v>
      </c>
      <c r="J17" s="41">
        <f t="shared" si="229"/>
        <v>-42.182361997897488</v>
      </c>
      <c r="L17" s="39"/>
      <c r="N17" s="40"/>
      <c r="O17" s="42" t="s">
        <v>141</v>
      </c>
      <c r="P17" s="40">
        <v>0</v>
      </c>
      <c r="Q17" s="40"/>
      <c r="R17" s="40"/>
      <c r="S17" s="40"/>
      <c r="T17" s="40"/>
      <c r="U17" s="40"/>
      <c r="V17" s="40"/>
      <c r="W17" s="40"/>
      <c r="X17" s="40"/>
      <c r="Y17" s="40">
        <f>MOD(V$4+OBSERVATIONS!$AO$13+I12,360)</f>
        <v>267.79564254717911</v>
      </c>
      <c r="Z17" s="40">
        <f t="shared" si="238"/>
        <v>92.204357452820886</v>
      </c>
      <c r="AA17" s="40">
        <f t="shared" si="247"/>
        <v>-1.1815737122728249</v>
      </c>
      <c r="AB17" s="40">
        <f t="shared" si="239"/>
        <v>1</v>
      </c>
      <c r="AC17" s="40">
        <f>ABS(TAN(RADIANS(ABS(OBSERVATIONS!$AO$12)))/TAN(RADIANS(ABS(Z17))))</f>
        <v>5.6160481625750332E-2</v>
      </c>
      <c r="AD17" s="40">
        <f>IF(AB17=0,IF(OBSERVATIONS!$AY$35="N",-AC17,AC17),IF(OBSERVATIONS!$AY$35="N",AC17,-AC17))</f>
        <v>5.6160481625750332E-2</v>
      </c>
      <c r="AE17" s="40">
        <f t="shared" si="240"/>
        <v>-2.0640549695154563E-2</v>
      </c>
      <c r="AF17" s="40">
        <f t="shared" si="241"/>
        <v>3.5519931930595772E-2</v>
      </c>
      <c r="AG17" s="40">
        <f>ABS(DEGREES(ATAN(1/(COS(RADIANS(ABS(OBSERVATIONS!$AO$12)))*AF17))))</f>
        <v>88.849585015445555</v>
      </c>
      <c r="AH17" s="40">
        <f t="shared" si="242"/>
        <v>88.849585015445555</v>
      </c>
      <c r="AI17" s="40">
        <f>AA17-OBSERVATIONS!$AO$12</f>
        <v>-56.754907045606153</v>
      </c>
      <c r="AJ17" s="44">
        <f>DEGREES(ASIN(SIN(RADIANS(OBSERVATIONS!$AO$12))*SIN(RADIANS(AA17))+COS(RADIANS(OBSERVATIONS!$AO$12))*COS(RADIANS(AA17))*COS(RADIANS(Y17))))</f>
        <v>-2.2207718223862924</v>
      </c>
      <c r="AK17" s="44">
        <f t="shared" si="243"/>
        <v>-2.2207718223862924</v>
      </c>
      <c r="AL17" s="37" t="s">
        <v>141</v>
      </c>
      <c r="AM17" s="44">
        <f t="shared" si="244"/>
        <v>88.849585015445555</v>
      </c>
      <c r="AN17" s="44">
        <f t="shared" si="245"/>
        <v>-2.2207718223862924</v>
      </c>
      <c r="AO17" s="44"/>
      <c r="AP17" s="44"/>
      <c r="AQ17" s="44"/>
      <c r="AR17" s="44"/>
      <c r="AS17" s="40"/>
      <c r="AT17" s="44"/>
      <c r="AU17" s="40"/>
      <c r="AV17" s="44"/>
      <c r="AW17" s="40"/>
      <c r="AX17" s="44"/>
      <c r="AY17" s="40"/>
      <c r="AZ17" s="40"/>
      <c r="BA17" s="40"/>
      <c r="BB17" s="40"/>
      <c r="BC17" s="40"/>
      <c r="BD17" s="41"/>
      <c r="BF17" s="41"/>
      <c r="BH17" s="41"/>
      <c r="BI17" s="41"/>
      <c r="BJ17" s="41"/>
      <c r="BK17" s="41"/>
      <c r="BL17" s="41"/>
      <c r="BN17" s="41"/>
      <c r="BO17" s="41"/>
      <c r="BP17" s="41"/>
      <c r="BQ17" s="41"/>
      <c r="BX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L17" s="41"/>
      <c r="CM17" s="41"/>
      <c r="CN17" s="41"/>
      <c r="CO17" s="41"/>
      <c r="CP17" s="41"/>
      <c r="CR17" s="41"/>
      <c r="CS17" s="41"/>
      <c r="CT17" s="41"/>
      <c r="CU17" s="41"/>
      <c r="CV17" s="41"/>
      <c r="CW17" s="40"/>
      <c r="CX17" s="40"/>
      <c r="CY17" s="44"/>
      <c r="CZ17" s="40"/>
      <c r="DA17" s="40"/>
      <c r="DB17" s="40"/>
      <c r="DC17" s="40"/>
      <c r="DD17" s="40"/>
      <c r="DE17" s="40"/>
      <c r="DF17" s="40"/>
      <c r="DG17" s="40"/>
      <c r="DH17" s="40"/>
      <c r="DI17" s="40"/>
      <c r="DJ17" s="40"/>
      <c r="DK17" s="40"/>
      <c r="DL17" s="40"/>
      <c r="DM17" s="40"/>
      <c r="DN17" s="40"/>
      <c r="DO17" s="40"/>
      <c r="DP17" s="40"/>
      <c r="DQ17" s="47"/>
      <c r="DR17" s="47"/>
      <c r="DS17" s="47"/>
      <c r="DT17" s="47"/>
      <c r="DU17" s="47"/>
      <c r="DV17" s="47"/>
      <c r="DW17" s="47"/>
      <c r="DX17" s="47"/>
      <c r="DY17" s="47"/>
      <c r="DZ17" s="47"/>
      <c r="EA17" s="47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40"/>
      <c r="EN17" s="40"/>
      <c r="EO17" s="40"/>
      <c r="EP17" s="40"/>
      <c r="EQ17" s="40"/>
      <c r="ER17" s="40"/>
      <c r="ES17" s="40"/>
      <c r="ET17" s="40"/>
      <c r="EU17" s="40"/>
      <c r="EV17" s="40"/>
      <c r="EW17" s="40"/>
      <c r="EX17" s="40"/>
      <c r="EY17" s="40"/>
      <c r="EZ17" s="40"/>
      <c r="FA17" s="40"/>
      <c r="FB17" s="40"/>
      <c r="FC17" s="40"/>
      <c r="FD17" s="40"/>
      <c r="FE17" s="40"/>
      <c r="FF17" s="40"/>
      <c r="FG17" s="40"/>
      <c r="FH17" s="40"/>
      <c r="FI17" s="40"/>
      <c r="FJ17" s="40"/>
      <c r="FK17" s="40"/>
      <c r="FL17" s="40"/>
      <c r="FM17" s="40"/>
      <c r="FN17" s="40"/>
      <c r="FO17" s="40"/>
    </row>
    <row r="18" spans="2:171" s="34" customFormat="1" ht="15" customHeight="1">
      <c r="B18" s="37" t="s">
        <v>147</v>
      </c>
      <c r="C18" s="34">
        <f>(16+29/60+22/3600)</f>
        <v>16.489444444444445</v>
      </c>
      <c r="D18" s="34">
        <f>-26-25.7/60</f>
        <v>-26.428333333333335</v>
      </c>
      <c r="E18" s="38">
        <f>MOD(360-(C18+((3.075+1.336*SIN(RADIANS(C18))*TAN(RADIANS(D18)))*(OBSERVATIONS!$U$35-36526)/365)/3600)*15,360)</f>
        <v>112.37340427164352</v>
      </c>
      <c r="F18" s="38">
        <f>D18+(20.04*COS(RADIANS(C18*15))*(OBSERVATIONS!$U$35-36526)/365)/3600</f>
        <v>-26.47913683024532</v>
      </c>
      <c r="G18" s="38">
        <f>-17.3*SIN(RADIANS(125-0.05295*(OBSERVATIONS!$U$35-2451545)))-1.4*SIN(RADIANS(200+1.97129*(OBSERVATIONS!$U$35-2451545)))</f>
        <v>-15.507213434549312</v>
      </c>
      <c r="H18" s="38">
        <f>9.4*COS(RADIANS(125-0.05295*(OBSERVATIONS!$U$35-2451545)))+0.7*COS(RADIANS(200+1.97129*(OBSERVATIONS!$U$35-2451545)))</f>
        <v>-2.1041300782981658</v>
      </c>
      <c r="I18" s="41">
        <f t="shared" si="228"/>
        <v>112.3752092194069</v>
      </c>
      <c r="J18" s="41">
        <f t="shared" si="229"/>
        <v>-26.478642610051264</v>
      </c>
      <c r="L18" s="39"/>
      <c r="N18" s="40"/>
      <c r="O18" s="42" t="s">
        <v>142</v>
      </c>
      <c r="P18" s="40">
        <v>0</v>
      </c>
      <c r="Q18" s="40"/>
      <c r="R18" s="40"/>
      <c r="S18" s="40"/>
      <c r="T18" s="40"/>
      <c r="U18" s="40"/>
      <c r="V18" s="40"/>
      <c r="W18" s="40"/>
      <c r="X18" s="40"/>
      <c r="Y18" s="40">
        <f>MOD(V$4+OBSERVATIONS!$AO$13+I13,360)</f>
        <v>209.95349112679651</v>
      </c>
      <c r="Z18" s="40">
        <f t="shared" si="238"/>
        <v>150.04650887320349</v>
      </c>
      <c r="AA18" s="40">
        <f t="shared" si="247"/>
        <v>-8.7608592794153068</v>
      </c>
      <c r="AB18" s="40">
        <f t="shared" si="239"/>
        <v>1</v>
      </c>
      <c r="AC18" s="40">
        <f>ABS(TAN(RADIANS(ABS(OBSERVATIONS!$AO$12)))/TAN(RADIANS(ABS(Z18))))</f>
        <v>2.5318165080812567</v>
      </c>
      <c r="AD18" s="40">
        <f>IF(AB18=0,IF(OBSERVATIONS!$AY$35="N",-AC18,AC18),IF(OBSERVATIONS!$AY$35="N",AC18,-AC18))</f>
        <v>2.5318165080812567</v>
      </c>
      <c r="AE18" s="40">
        <f t="shared" si="240"/>
        <v>-0.30865154786303406</v>
      </c>
      <c r="AF18" s="40">
        <f t="shared" si="241"/>
        <v>2.2231649602182229</v>
      </c>
      <c r="AG18" s="40">
        <f>ABS(DEGREES(ATAN(1/(COS(RADIANS(ABS(OBSERVATIONS!$AO$12)))*AF18))))</f>
        <v>38.50674726622124</v>
      </c>
      <c r="AH18" s="40">
        <f t="shared" si="242"/>
        <v>38.50674726622124</v>
      </c>
      <c r="AI18" s="40">
        <f>AA18-OBSERVATIONS!$AO$12</f>
        <v>-64.334192612748637</v>
      </c>
      <c r="AJ18" s="44">
        <f>DEGREES(ASIN(SIN(RADIANS(OBSERVATIONS!$AO$12))*SIN(RADIANS(AA18))+COS(RADIANS(OBSERVATIONS!$AO$12))*COS(RADIANS(AA18))*COS(RADIANS(Y18))))</f>
        <v>-37.571866008263733</v>
      </c>
      <c r="AK18" s="44">
        <f t="shared" si="243"/>
        <v>-37.571866008263733</v>
      </c>
      <c r="AL18" s="37" t="s">
        <v>142</v>
      </c>
      <c r="AM18" s="44">
        <f t="shared" si="244"/>
        <v>38.50674726622124</v>
      </c>
      <c r="AN18" s="44">
        <f t="shared" si="245"/>
        <v>-37.571866008263733</v>
      </c>
      <c r="AO18" s="44"/>
      <c r="AP18" s="44"/>
      <c r="AQ18" s="44"/>
      <c r="AR18" s="44"/>
      <c r="AS18" s="40"/>
      <c r="AT18" s="44"/>
      <c r="AU18" s="40"/>
      <c r="AV18" s="44"/>
      <c r="AW18" s="40"/>
      <c r="AX18" s="44"/>
      <c r="AY18" s="40"/>
      <c r="AZ18" s="40"/>
      <c r="BA18" s="40"/>
      <c r="BB18" s="40"/>
      <c r="BC18" s="40"/>
      <c r="BD18" s="41"/>
      <c r="BF18" s="41"/>
      <c r="BH18" s="41"/>
      <c r="BI18" s="41"/>
      <c r="BJ18" s="41"/>
      <c r="BK18" s="41"/>
      <c r="BL18" s="41"/>
      <c r="BN18" s="41"/>
      <c r="BO18" s="41"/>
      <c r="BP18" s="41"/>
      <c r="BQ18" s="41"/>
      <c r="BX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L18" s="41"/>
      <c r="CM18" s="41"/>
      <c r="CN18" s="41"/>
      <c r="CO18" s="41"/>
      <c r="CP18" s="41"/>
      <c r="CR18" s="41"/>
      <c r="CS18" s="41"/>
      <c r="CT18" s="41"/>
      <c r="CU18" s="41"/>
      <c r="CV18" s="41"/>
      <c r="CW18" s="40"/>
      <c r="CX18" s="40"/>
      <c r="CY18" s="44"/>
      <c r="CZ18" s="40"/>
      <c r="DA18" s="40"/>
      <c r="DB18" s="40"/>
      <c r="DC18" s="40"/>
      <c r="DD18" s="40"/>
      <c r="DE18" s="40"/>
      <c r="DF18" s="40"/>
      <c r="DG18" s="40"/>
      <c r="DH18" s="40"/>
      <c r="DI18" s="40"/>
      <c r="DJ18" s="40"/>
      <c r="DK18" s="40"/>
      <c r="DL18" s="40"/>
      <c r="DM18" s="40"/>
      <c r="DN18" s="40"/>
      <c r="DO18" s="40"/>
      <c r="DP18" s="40"/>
      <c r="DQ18" s="47"/>
      <c r="DR18" s="47"/>
      <c r="DS18" s="47"/>
      <c r="DT18" s="47"/>
      <c r="DU18" s="47"/>
      <c r="DV18" s="47"/>
      <c r="DW18" s="47"/>
      <c r="DX18" s="47"/>
      <c r="DY18" s="47"/>
      <c r="DZ18" s="47"/>
      <c r="EA18" s="47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40"/>
      <c r="EN18" s="40"/>
      <c r="EO18" s="40"/>
      <c r="EP18" s="40"/>
      <c r="EQ18" s="40"/>
      <c r="ER18" s="40"/>
      <c r="ES18" s="40"/>
      <c r="ET18" s="40"/>
      <c r="EU18" s="40"/>
      <c r="EV18" s="40"/>
      <c r="EW18" s="40"/>
      <c r="EX18" s="40"/>
      <c r="EY18" s="40"/>
      <c r="EZ18" s="40"/>
      <c r="FA18" s="40"/>
      <c r="FB18" s="40"/>
      <c r="FC18" s="40"/>
      <c r="FD18" s="40"/>
      <c r="FE18" s="40"/>
      <c r="FF18" s="40"/>
      <c r="FG18" s="40"/>
      <c r="FH18" s="40"/>
      <c r="FI18" s="40"/>
      <c r="FJ18" s="40"/>
      <c r="FK18" s="40"/>
      <c r="FL18" s="40"/>
      <c r="FM18" s="40"/>
      <c r="FN18" s="40"/>
      <c r="FO18" s="40"/>
    </row>
    <row r="19" spans="2:171" s="34" customFormat="1" ht="15" customHeight="1">
      <c r="B19" s="37" t="s">
        <v>148</v>
      </c>
      <c r="C19" s="34">
        <f>(14+15/60+39/3600)</f>
        <v>14.260833333333334</v>
      </c>
      <c r="D19" s="34">
        <f>19+11.2/60</f>
        <v>19.186666666666667</v>
      </c>
      <c r="E19" s="38">
        <f>MOD(360-(C19+((3.075+1.336*SIN(RADIANS(C19))*TAN(RADIANS(D19)))*(OBSERVATIONS!$U$35-36526)/365)/3600)*15,360)</f>
        <v>145.77266225239637</v>
      </c>
      <c r="F19" s="38">
        <f>D19+(20.04*COS(RADIANS(C19*15))*(OBSERVATIONS!$U$35-36526)/365)/3600</f>
        <v>19.077223500614018</v>
      </c>
      <c r="G19" s="38">
        <f>-17.3*SIN(RADIANS(125-0.05295*(OBSERVATIONS!$U$35-2451545)))-1.4*SIN(RADIANS(200+1.97129*(OBSERVATIONS!$U$35-2451545)))</f>
        <v>-15.507213434549312</v>
      </c>
      <c r="H19" s="38">
        <f>9.4*COS(RADIANS(125-0.05295*(OBSERVATIONS!$U$35-2451545)))+0.7*COS(RADIANS(200+1.97129*(OBSERVATIONS!$U$35-2451545)))</f>
        <v>-2.1041300782981658</v>
      </c>
      <c r="I19" s="41">
        <f t="shared" si="228"/>
        <v>145.77109760922431</v>
      </c>
      <c r="J19" s="41">
        <f t="shared" si="229"/>
        <v>19.078501578277187</v>
      </c>
      <c r="L19" s="39"/>
      <c r="N19" s="40"/>
      <c r="O19" s="42" t="s">
        <v>143</v>
      </c>
      <c r="P19" s="40">
        <v>0</v>
      </c>
      <c r="Q19" s="40"/>
      <c r="R19" s="40"/>
      <c r="S19" s="40"/>
      <c r="T19" s="40"/>
      <c r="U19" s="40"/>
      <c r="V19" s="40"/>
      <c r="W19" s="40"/>
      <c r="X19" s="40"/>
      <c r="Y19" s="40">
        <f>MOD(V$4+OBSERVATIONS!$AO$13+I14,360)</f>
        <v>118.16747335391312</v>
      </c>
      <c r="Z19" s="40">
        <f t="shared" si="238"/>
        <v>118.16747335391312</v>
      </c>
      <c r="AA19" s="40">
        <f t="shared" si="247"/>
        <v>26.637716145760272</v>
      </c>
      <c r="AB19" s="40">
        <f t="shared" si="239"/>
        <v>1</v>
      </c>
      <c r="AC19" s="40">
        <f>ABS(TAN(RADIANS(ABS(OBSERVATIONS!$AO$12)))/TAN(RADIANS(ABS(Z19))))</f>
        <v>0.78124607840678506</v>
      </c>
      <c r="AD19" s="40">
        <f>IF(AB19=0,IF(OBSERVATIONS!$AY$35="N",-AC19,AC19),IF(OBSERVATIONS!$AY$35="N",AC19,-AC19))</f>
        <v>0.78124607840678506</v>
      </c>
      <c r="AE19" s="40">
        <f t="shared" si="240"/>
        <v>0.56896833367896604</v>
      </c>
      <c r="AF19" s="40">
        <f t="shared" si="241"/>
        <v>1.3502144120857511</v>
      </c>
      <c r="AG19" s="40">
        <f>ABS(DEGREES(ATAN(1/(COS(RADIANS(ABS(OBSERVATIONS!$AO$12)))*AF19))))</f>
        <v>52.643875998272406</v>
      </c>
      <c r="AH19" s="40">
        <f t="shared" si="242"/>
        <v>307.35612400172761</v>
      </c>
      <c r="AI19" s="40">
        <f>AA19-OBSERVATIONS!$AO$12</f>
        <v>-28.935617187573058</v>
      </c>
      <c r="AJ19" s="44">
        <f>DEGREES(ASIN(SIN(RADIANS(OBSERVATIONS!$AO$12))*SIN(RADIANS(AA19))+COS(RADIANS(OBSERVATIONS!$AO$12))*COS(RADIANS(AA19))*COS(RADIANS(Y19))))</f>
        <v>7.5430901261690977</v>
      </c>
      <c r="AK19" s="44">
        <f t="shared" si="243"/>
        <v>7.5430901261690977</v>
      </c>
      <c r="AL19" s="37" t="s">
        <v>143</v>
      </c>
      <c r="AM19" s="44">
        <f t="shared" si="244"/>
        <v>307.35612400172761</v>
      </c>
      <c r="AN19" s="44">
        <f t="shared" si="245"/>
        <v>7.5430901261690977</v>
      </c>
      <c r="AO19" s="44"/>
      <c r="AP19" s="44"/>
      <c r="AQ19" s="44"/>
      <c r="AR19" s="44"/>
      <c r="AS19" s="40"/>
      <c r="AT19" s="44"/>
      <c r="AU19" s="40"/>
      <c r="AV19" s="44"/>
      <c r="AW19" s="40"/>
      <c r="AX19" s="44"/>
      <c r="AY19" s="40"/>
      <c r="AZ19" s="40"/>
      <c r="BA19" s="40"/>
      <c r="BB19" s="40"/>
      <c r="BC19" s="40"/>
      <c r="BD19" s="41"/>
      <c r="BF19" s="41"/>
      <c r="BH19" s="41"/>
      <c r="BI19" s="41"/>
      <c r="BJ19" s="41"/>
      <c r="BK19" s="41"/>
      <c r="BL19" s="41"/>
      <c r="BN19" s="41"/>
      <c r="BO19" s="41"/>
      <c r="BP19" s="41"/>
      <c r="BQ19" s="41"/>
      <c r="BX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L19" s="41"/>
      <c r="CM19" s="41"/>
      <c r="CN19" s="41"/>
      <c r="CO19" s="41"/>
      <c r="CP19" s="41"/>
      <c r="CR19" s="41"/>
      <c r="CS19" s="41"/>
      <c r="CT19" s="41"/>
      <c r="CU19" s="41"/>
      <c r="CV19" s="41"/>
      <c r="CW19" s="40"/>
      <c r="CX19" s="40"/>
      <c r="CY19" s="44"/>
      <c r="CZ19" s="40"/>
      <c r="DA19" s="40"/>
      <c r="DB19" s="40"/>
      <c r="DC19" s="40"/>
      <c r="DD19" s="40"/>
      <c r="DE19" s="40"/>
      <c r="DF19" s="40"/>
      <c r="DG19" s="40"/>
      <c r="DH19" s="40"/>
      <c r="DI19" s="40"/>
      <c r="DJ19" s="40"/>
      <c r="DK19" s="40"/>
      <c r="DL19" s="40"/>
      <c r="DM19" s="40"/>
      <c r="DN19" s="40"/>
      <c r="DO19" s="40"/>
      <c r="DP19" s="40"/>
      <c r="DQ19" s="47"/>
      <c r="DR19" s="47"/>
      <c r="DS19" s="47"/>
      <c r="DT19" s="47"/>
      <c r="DU19" s="47"/>
      <c r="DV19" s="47"/>
      <c r="DW19" s="47"/>
      <c r="DX19" s="47"/>
      <c r="DY19" s="47"/>
      <c r="DZ19" s="47"/>
      <c r="EA19" s="47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40"/>
      <c r="ER19" s="40"/>
      <c r="ES19" s="40"/>
      <c r="ET19" s="40"/>
      <c r="EU19" s="40"/>
      <c r="EV19" s="40"/>
      <c r="EW19" s="40"/>
      <c r="EX19" s="40"/>
      <c r="EY19" s="40"/>
      <c r="EZ19" s="40"/>
      <c r="FA19" s="40"/>
      <c r="FB19" s="40"/>
      <c r="FC19" s="40"/>
      <c r="FD19" s="40"/>
      <c r="FE19" s="40"/>
      <c r="FF19" s="40"/>
      <c r="FG19" s="40"/>
      <c r="FH19" s="40"/>
      <c r="FI19" s="40"/>
      <c r="FJ19" s="40"/>
      <c r="FK19" s="40"/>
      <c r="FL19" s="40"/>
      <c r="FM19" s="40"/>
      <c r="FN19" s="40"/>
      <c r="FO19" s="40"/>
    </row>
    <row r="20" spans="2:171" s="34" customFormat="1" ht="15" customHeight="1">
      <c r="B20" s="37" t="s">
        <v>149</v>
      </c>
      <c r="C20" s="34">
        <f>(16+48/60+35/3600)</f>
        <v>16.809722222222224</v>
      </c>
      <c r="D20" s="34">
        <f>-69-1.4/60</f>
        <v>-69.023333333333326</v>
      </c>
      <c r="E20" s="38">
        <f>MOD(360-(C20+((3.075+1.336*SIN(RADIANS(C20))*TAN(RADIANS(D20)))*(OBSERVATIONS!$U$35-36526)/365)/3600)*15,360)</f>
        <v>107.65010711887311</v>
      </c>
      <c r="F20" s="38">
        <f>D20+(20.04*COS(RADIANS(C20*15))*(OBSERVATIONS!$U$35-36526)/365)/3600</f>
        <v>-69.063766085337065</v>
      </c>
      <c r="G20" s="38">
        <f>-17.3*SIN(RADIANS(125-0.05295*(OBSERVATIONS!$U$35-2451545)))-1.4*SIN(RADIANS(200+1.97129*(OBSERVATIONS!$U$35-2451545)))</f>
        <v>-15.507213434549312</v>
      </c>
      <c r="H20" s="38">
        <f>9.4*COS(RADIANS(125-0.05295*(OBSERVATIONS!$U$35-2451545)))+0.7*COS(RADIANS(200+1.97129*(OBSERVATIONS!$U$35-2451545)))</f>
        <v>-2.1041300782981658</v>
      </c>
      <c r="I20" s="41">
        <f t="shared" si="228"/>
        <v>107.64931169706171</v>
      </c>
      <c r="J20" s="41">
        <f t="shared" si="229"/>
        <v>-69.06340974827053</v>
      </c>
      <c r="L20" s="39"/>
      <c r="N20" s="40"/>
      <c r="O20" s="42" t="s">
        <v>144</v>
      </c>
      <c r="P20" s="40">
        <v>0</v>
      </c>
      <c r="Q20" s="40"/>
      <c r="R20" s="40"/>
      <c r="S20" s="40"/>
      <c r="T20" s="40"/>
      <c r="U20" s="40"/>
      <c r="V20" s="40"/>
      <c r="W20" s="40"/>
      <c r="X20" s="40"/>
      <c r="Y20" s="40">
        <f>MOD(V$4+OBSERVATIONS!$AO$13+I15,360)</f>
        <v>349.75793437198263</v>
      </c>
      <c r="Z20" s="40">
        <f t="shared" si="238"/>
        <v>10.242065628017372</v>
      </c>
      <c r="AA20" s="40">
        <f t="shared" si="247"/>
        <v>29.22174159211249</v>
      </c>
      <c r="AB20" s="40">
        <f t="shared" si="239"/>
        <v>0</v>
      </c>
      <c r="AC20" s="40">
        <f>ABS(TAN(RADIANS(ABS(OBSERVATIONS!$AO$12)))/TAN(RADIANS(ABS(Z20))))</f>
        <v>8.0747947522577252</v>
      </c>
      <c r="AD20" s="40">
        <f>IF(AB20=0,IF(OBSERVATIONS!$AY$35="N",-AC20,AC20),IF(OBSERVATIONS!$AY$35="N",AC20,-AC20))</f>
        <v>-8.0747947522577252</v>
      </c>
      <c r="AE20" s="40">
        <f t="shared" si="240"/>
        <v>3.1459860601342307</v>
      </c>
      <c r="AF20" s="40">
        <f t="shared" si="241"/>
        <v>-4.9288086921234946</v>
      </c>
      <c r="AG20" s="40">
        <f>ABS(DEGREES(ATAN(1/(COS(RADIANS(ABS(OBSERVATIONS!$AO$12)))*AF20))))</f>
        <v>19.741654746439508</v>
      </c>
      <c r="AH20" s="40">
        <f t="shared" si="242"/>
        <v>160.25834525356049</v>
      </c>
      <c r="AI20" s="40">
        <f>AA20-OBSERVATIONS!$AO$12</f>
        <v>-26.35159174122084</v>
      </c>
      <c r="AJ20" s="44">
        <f>DEGREES(ASIN(SIN(RADIANS(OBSERVATIONS!$AO$12))*SIN(RADIANS(AA20))+COS(RADIANS(OBSERVATIONS!$AO$12))*COS(RADIANS(AA20))*COS(RADIANS(Y20))))</f>
        <v>62.651028891195381</v>
      </c>
      <c r="AK20" s="44">
        <f t="shared" si="243"/>
        <v>62.651028891195381</v>
      </c>
      <c r="AL20" s="37" t="s">
        <v>144</v>
      </c>
      <c r="AM20" s="44">
        <f t="shared" si="244"/>
        <v>160.25834525356049</v>
      </c>
      <c r="AN20" s="44">
        <f t="shared" si="245"/>
        <v>62.651028891195381</v>
      </c>
      <c r="AO20" s="44"/>
      <c r="AP20" s="44"/>
      <c r="AQ20" s="44"/>
      <c r="AR20" s="44"/>
      <c r="AS20" s="40"/>
      <c r="AT20" s="44"/>
      <c r="AU20" s="40"/>
      <c r="AV20" s="44"/>
      <c r="AW20" s="40"/>
      <c r="AX20" s="44"/>
      <c r="AY20" s="40"/>
      <c r="AZ20" s="40"/>
      <c r="BA20" s="40"/>
      <c r="BB20" s="40"/>
      <c r="BC20" s="40"/>
      <c r="BD20" s="41"/>
      <c r="BF20" s="41"/>
      <c r="BH20" s="41"/>
      <c r="BI20" s="41"/>
      <c r="BJ20" s="41"/>
      <c r="BK20" s="41"/>
      <c r="BL20" s="41"/>
      <c r="BN20" s="41"/>
      <c r="BO20" s="41"/>
      <c r="BP20" s="41"/>
      <c r="BQ20" s="41"/>
      <c r="BX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L20" s="41"/>
      <c r="CM20" s="41"/>
      <c r="CN20" s="41"/>
      <c r="CO20" s="41"/>
      <c r="CP20" s="41"/>
      <c r="CR20" s="41"/>
      <c r="CS20" s="41"/>
      <c r="CT20" s="41"/>
      <c r="CU20" s="41"/>
      <c r="CV20" s="41"/>
      <c r="CW20" s="40"/>
      <c r="CX20" s="40"/>
      <c r="CY20" s="44"/>
      <c r="CZ20" s="40"/>
      <c r="DA20" s="40"/>
      <c r="DB20" s="40"/>
      <c r="DC20" s="40"/>
      <c r="DD20" s="40"/>
      <c r="DE20" s="40"/>
      <c r="DF20" s="40"/>
      <c r="DG20" s="40"/>
      <c r="DH20" s="40"/>
      <c r="DI20" s="40"/>
      <c r="DJ20" s="40"/>
      <c r="DK20" s="40"/>
      <c r="DL20" s="40"/>
      <c r="DM20" s="40"/>
      <c r="DN20" s="40"/>
      <c r="DO20" s="40"/>
      <c r="DP20" s="40"/>
      <c r="DQ20" s="47"/>
      <c r="DR20" s="47"/>
      <c r="DS20" s="47"/>
      <c r="DT20" s="47"/>
      <c r="DU20" s="47"/>
      <c r="DV20" s="47"/>
      <c r="DW20" s="47"/>
      <c r="DX20" s="47"/>
      <c r="DY20" s="47"/>
      <c r="DZ20" s="47"/>
      <c r="EA20" s="47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40"/>
      <c r="EN20" s="40"/>
      <c r="EO20" s="40"/>
      <c r="EP20" s="40"/>
      <c r="EQ20" s="40"/>
      <c r="ER20" s="40"/>
      <c r="ES20" s="40"/>
      <c r="ET20" s="40"/>
      <c r="EU20" s="40"/>
      <c r="EV20" s="40"/>
      <c r="EW20" s="40"/>
      <c r="EX20" s="40"/>
      <c r="EY20" s="40"/>
      <c r="EZ20" s="40"/>
      <c r="FA20" s="40"/>
      <c r="FB20" s="40"/>
      <c r="FC20" s="40"/>
      <c r="FD20" s="40"/>
      <c r="FE20" s="40"/>
      <c r="FF20" s="40"/>
      <c r="FG20" s="40"/>
      <c r="FH20" s="40"/>
      <c r="FI20" s="40"/>
      <c r="FJ20" s="40"/>
      <c r="FK20" s="40"/>
      <c r="FL20" s="40"/>
      <c r="FM20" s="40"/>
      <c r="FN20" s="40"/>
      <c r="FO20" s="40"/>
    </row>
    <row r="21" spans="2:171" s="34" customFormat="1" ht="15" customHeight="1">
      <c r="B21" s="37" t="s">
        <v>150</v>
      </c>
      <c r="C21" s="34">
        <f>(8+22/60+33/3600)</f>
        <v>8.3758333333333344</v>
      </c>
      <c r="D21" s="34">
        <f>-59-30.5/60</f>
        <v>-59.508333333333333</v>
      </c>
      <c r="E21" s="38">
        <f>MOD(360-(C21+((3.075+1.336*SIN(RADIANS(C21))*TAN(RADIANS(D21)))*(OBSERVATIONS!$U$35-36526)/365)/3600)*15,360)</f>
        <v>234.09158940965347</v>
      </c>
      <c r="F21" s="38">
        <f>D21+(20.04*COS(RADIANS(C21*15))*(OBSERVATIONS!$U$35-36526)/365)/3600</f>
        <v>-59.585171908403119</v>
      </c>
      <c r="G21" s="38">
        <f>-17.3*SIN(RADIANS(125-0.05295*(OBSERVATIONS!$U$35-2451545)))-1.4*SIN(RADIANS(200+1.97129*(OBSERVATIONS!$U$35-2451545)))</f>
        <v>-15.507213434549312</v>
      </c>
      <c r="H21" s="38">
        <f>9.4*COS(RADIANS(125-0.05295*(OBSERVATIONS!$U$35-2451545)))+0.7*COS(RADIANS(200+1.97129*(OBSERVATIONS!$U$35-2451545)))</f>
        <v>-2.1041300782981658</v>
      </c>
      <c r="I21" s="41">
        <f t="shared" si="228"/>
        <v>234.09148029985153</v>
      </c>
      <c r="J21" s="41">
        <f t="shared" si="229"/>
        <v>-59.584258640397749</v>
      </c>
      <c r="L21" s="39"/>
      <c r="N21" s="40"/>
      <c r="O21" s="42" t="s">
        <v>145</v>
      </c>
      <c r="P21" s="40">
        <v>0</v>
      </c>
      <c r="Q21" s="40"/>
      <c r="R21" s="40"/>
      <c r="S21" s="40"/>
      <c r="T21" s="40"/>
      <c r="U21" s="40"/>
      <c r="V21" s="40"/>
      <c r="W21" s="40"/>
      <c r="X21" s="40"/>
      <c r="Y21" s="40">
        <f>MOD(V$4+OBSERVATIONS!$AO$13+I16,360)</f>
        <v>54.153804334260485</v>
      </c>
      <c r="Z21" s="40">
        <f t="shared" si="238"/>
        <v>54.153804334260485</v>
      </c>
      <c r="AA21" s="40">
        <f t="shared" si="247"/>
        <v>8.9286150331909848</v>
      </c>
      <c r="AB21" s="40">
        <f t="shared" si="239"/>
        <v>0</v>
      </c>
      <c r="AC21" s="40">
        <f>ABS(TAN(RADIANS(ABS(OBSERVATIONS!$AO$12)))/TAN(RADIANS(ABS(Z21))))</f>
        <v>1.054057604140505</v>
      </c>
      <c r="AD21" s="40">
        <f>IF(AB21=0,IF(OBSERVATIONS!$AY$35="N",-AC21,AC21),IF(OBSERVATIONS!$AY$35="N",AC21,-AC21))</f>
        <v>-1.054057604140505</v>
      </c>
      <c r="AE21" s="40">
        <f t="shared" si="240"/>
        <v>0.19381828277484589</v>
      </c>
      <c r="AF21" s="40">
        <f t="shared" si="241"/>
        <v>-0.86023932136565906</v>
      </c>
      <c r="AG21" s="40">
        <f>ABS(DEGREES(ATAN(1/(COS(RADIANS(ABS(OBSERVATIONS!$AO$12)))*AF21))))</f>
        <v>64.064624590993674</v>
      </c>
      <c r="AH21" s="40">
        <f t="shared" si="242"/>
        <v>244.06462459099367</v>
      </c>
      <c r="AI21" s="40">
        <f>AA21-OBSERVATIONS!$AO$12</f>
        <v>-46.644718300142344</v>
      </c>
      <c r="AJ21" s="44">
        <f>DEGREES(ASIN(SIN(RADIANS(OBSERVATIONS!$AO$12))*SIN(RADIANS(AA21))+COS(RADIANS(OBSERVATIONS!$AO$12))*COS(RADIANS(AA21))*COS(RADIANS(Y21))))</f>
        <v>27.070343611495765</v>
      </c>
      <c r="AK21" s="44">
        <f t="shared" si="243"/>
        <v>27.070343611495765</v>
      </c>
      <c r="AL21" s="37" t="s">
        <v>145</v>
      </c>
      <c r="AM21" s="44">
        <f t="shared" si="244"/>
        <v>244.06462459099367</v>
      </c>
      <c r="AN21" s="44">
        <f t="shared" si="245"/>
        <v>27.070343611495765</v>
      </c>
      <c r="AO21" s="44"/>
      <c r="AP21" s="44"/>
      <c r="AQ21" s="44"/>
      <c r="AR21" s="44"/>
      <c r="AS21" s="40"/>
      <c r="AT21" s="44"/>
      <c r="AU21" s="40"/>
      <c r="AV21" s="44"/>
      <c r="AW21" s="40"/>
      <c r="AX21" s="44"/>
      <c r="AY21" s="40"/>
      <c r="AZ21" s="40"/>
      <c r="BA21" s="40"/>
      <c r="BB21" s="40"/>
      <c r="BC21" s="40"/>
      <c r="BD21" s="41"/>
      <c r="BF21" s="41"/>
      <c r="BH21" s="41"/>
      <c r="BI21" s="41"/>
      <c r="BJ21" s="41"/>
      <c r="BK21" s="41"/>
      <c r="BL21" s="41"/>
      <c r="BN21" s="41"/>
      <c r="BO21" s="41"/>
      <c r="BP21" s="41"/>
      <c r="BQ21" s="41"/>
      <c r="BX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L21" s="41"/>
      <c r="CM21" s="41"/>
      <c r="CN21" s="41"/>
      <c r="CO21" s="41"/>
      <c r="CP21" s="41"/>
      <c r="CR21" s="41"/>
      <c r="CS21" s="41"/>
      <c r="CT21" s="41"/>
      <c r="CU21" s="41"/>
      <c r="CV21" s="41"/>
      <c r="CW21" s="40"/>
      <c r="CX21" s="40"/>
      <c r="CY21" s="44"/>
      <c r="CZ21" s="40"/>
      <c r="DA21" s="40"/>
      <c r="DB21" s="40"/>
      <c r="DC21" s="40"/>
      <c r="DD21" s="40"/>
      <c r="DE21" s="40"/>
      <c r="DF21" s="40"/>
      <c r="DG21" s="40"/>
      <c r="DH21" s="40"/>
      <c r="DI21" s="40"/>
      <c r="DJ21" s="40"/>
      <c r="DK21" s="40"/>
      <c r="DL21" s="40"/>
      <c r="DM21" s="40"/>
      <c r="DN21" s="40"/>
      <c r="DO21" s="40"/>
      <c r="DP21" s="40"/>
      <c r="DQ21" s="47"/>
      <c r="DR21" s="47"/>
      <c r="DS21" s="47"/>
      <c r="DT21" s="47"/>
      <c r="DU21" s="47"/>
      <c r="DV21" s="47"/>
      <c r="DW21" s="47"/>
      <c r="DX21" s="47"/>
      <c r="DY21" s="47"/>
      <c r="DZ21" s="47"/>
      <c r="EA21" s="47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40"/>
      <c r="EN21" s="40"/>
      <c r="EO21" s="40"/>
      <c r="EP21" s="40"/>
      <c r="EQ21" s="40"/>
      <c r="ER21" s="40"/>
      <c r="ES21" s="40"/>
      <c r="ET21" s="40"/>
      <c r="EU21" s="40"/>
      <c r="EV21" s="40"/>
      <c r="EW21" s="40"/>
      <c r="EX21" s="40"/>
      <c r="EY21" s="40"/>
      <c r="EZ21" s="40"/>
      <c r="FA21" s="40"/>
      <c r="FB21" s="40"/>
      <c r="FC21" s="40"/>
      <c r="FD21" s="40"/>
      <c r="FE21" s="40"/>
      <c r="FF21" s="40"/>
      <c r="FG21" s="40"/>
      <c r="FH21" s="40"/>
      <c r="FI21" s="40"/>
      <c r="FJ21" s="40"/>
      <c r="FK21" s="40"/>
      <c r="FL21" s="40"/>
      <c r="FM21" s="40"/>
      <c r="FN21" s="40"/>
      <c r="FO21" s="40"/>
    </row>
    <row r="22" spans="2:171" s="34" customFormat="1" ht="15" customHeight="1">
      <c r="B22" s="37" t="s">
        <v>151</v>
      </c>
      <c r="C22" s="34">
        <f>(5+25/60+8/3600)</f>
        <v>5.4188888888888895</v>
      </c>
      <c r="D22" s="34">
        <f>6+20.9/60</f>
        <v>6.3483333333333336</v>
      </c>
      <c r="E22" s="38">
        <f>MOD(360-(C22+((3.075+1.336*SIN(RADIANS(C22))*TAN(RADIANS(D22)))*(OBSERVATIONS!$U$35-36526)/365)/3600)*15,360)</f>
        <v>278.41174771037424</v>
      </c>
      <c r="F22" s="38">
        <f>D22+(20.04*COS(RADIANS(C22*15))*(OBSERVATIONS!$U$35-36526)/365)/3600</f>
        <v>6.3683190183173988</v>
      </c>
      <c r="G22" s="38">
        <f>-17.3*SIN(RADIANS(125-0.05295*(OBSERVATIONS!$U$35-2451545)))-1.4*SIN(RADIANS(200+1.97129*(OBSERVATIONS!$U$35-2451545)))</f>
        <v>-15.507213434549312</v>
      </c>
      <c r="H22" s="38">
        <f>9.4*COS(RADIANS(125-0.05295*(OBSERVATIONS!$U$35-2451545)))+0.7*COS(RADIANS(200+1.97129*(OBSERVATIONS!$U$35-2451545)))</f>
        <v>-2.1041300782981658</v>
      </c>
      <c r="I22" s="41">
        <f t="shared" si="228"/>
        <v>278.41174309305694</v>
      </c>
      <c r="J22" s="41">
        <f t="shared" si="229"/>
        <v>6.3680041367646298</v>
      </c>
      <c r="L22" s="39"/>
      <c r="N22" s="40"/>
      <c r="O22" s="42" t="s">
        <v>146</v>
      </c>
      <c r="P22" s="40">
        <v>0</v>
      </c>
      <c r="Q22" s="40"/>
      <c r="R22" s="40"/>
      <c r="S22" s="40"/>
      <c r="T22" s="40"/>
      <c r="U22" s="40"/>
      <c r="V22" s="40"/>
      <c r="W22" s="40"/>
      <c r="X22" s="40"/>
      <c r="Y22" s="40">
        <f>MOD(V$4+OBSERVATIONS!$AO$13+I17,360)</f>
        <v>345.28338988741029</v>
      </c>
      <c r="Z22" s="40">
        <f t="shared" si="238"/>
        <v>14.716610112589706</v>
      </c>
      <c r="AA22" s="40">
        <f t="shared" si="247"/>
        <v>-42.182361997897488</v>
      </c>
      <c r="AB22" s="40">
        <f t="shared" si="239"/>
        <v>0</v>
      </c>
      <c r="AC22" s="40">
        <f>ABS(TAN(RADIANS(ABS(OBSERVATIONS!$AO$12)))/TAN(RADIANS(ABS(Z22))))</f>
        <v>5.5548388652342666</v>
      </c>
      <c r="AD22" s="40">
        <f>IF(AB22=0,IF(OBSERVATIONS!$AY$35="N",-AC22,AC22),IF(OBSERVATIONS!$AY$35="N",AC22,-AC22))</f>
        <v>-5.5548388652342666</v>
      </c>
      <c r="AE22" s="40">
        <f t="shared" si="240"/>
        <v>-3.5671144011637335</v>
      </c>
      <c r="AF22" s="40">
        <f t="shared" si="241"/>
        <v>-9.1219532663980001</v>
      </c>
      <c r="AG22" s="40">
        <f>ABS(DEGREES(ATAN(1/(COS(RADIANS(ABS(OBSERVATIONS!$AO$12)))*AF22))))</f>
        <v>10.973879474100174</v>
      </c>
      <c r="AH22" s="40">
        <f t="shared" si="242"/>
        <v>169.02612052589981</v>
      </c>
      <c r="AI22" s="40">
        <f>AA22-OBSERVATIONS!$AO$12</f>
        <v>-97.755695331230811</v>
      </c>
      <c r="AJ22" s="44">
        <f>DEGREES(ASIN(SIN(RADIANS(OBSERVATIONS!$AO$12))*SIN(RADIANS(AA22))+COS(RADIANS(OBSERVATIONS!$AO$12))*COS(RADIANS(AA22))*COS(RADIANS(Y22))))</f>
        <v>-8.5511816492062795</v>
      </c>
      <c r="AK22" s="44">
        <f t="shared" si="243"/>
        <v>-8.5511816492062795</v>
      </c>
      <c r="AL22" s="37" t="s">
        <v>146</v>
      </c>
      <c r="AM22" s="44">
        <f t="shared" si="244"/>
        <v>169.02612052589981</v>
      </c>
      <c r="AN22" s="44">
        <f t="shared" si="245"/>
        <v>-8.5511816492062795</v>
      </c>
      <c r="AO22" s="44"/>
      <c r="AP22" s="44"/>
      <c r="AQ22" s="44"/>
      <c r="AR22" s="44"/>
      <c r="AS22" s="40"/>
      <c r="AT22" s="44"/>
      <c r="AU22" s="40"/>
      <c r="AV22" s="44"/>
      <c r="AW22" s="40"/>
      <c r="AX22" s="44"/>
      <c r="AY22" s="40"/>
      <c r="AZ22" s="40"/>
      <c r="BA22" s="40"/>
      <c r="BB22" s="40"/>
      <c r="BC22" s="40"/>
      <c r="BD22" s="41"/>
      <c r="BF22" s="41"/>
      <c r="BH22" s="41"/>
      <c r="BI22" s="41"/>
      <c r="BJ22" s="41"/>
      <c r="BK22" s="41"/>
      <c r="BL22" s="41"/>
      <c r="BN22" s="41"/>
      <c r="BO22" s="41"/>
      <c r="BP22" s="41"/>
      <c r="BQ22" s="41"/>
      <c r="BX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L22" s="41"/>
      <c r="CM22" s="41"/>
      <c r="CN22" s="41"/>
      <c r="CO22" s="41"/>
      <c r="CP22" s="41"/>
      <c r="CR22" s="41"/>
      <c r="CS22" s="41"/>
      <c r="CT22" s="41"/>
      <c r="CU22" s="41"/>
      <c r="CV22" s="41"/>
      <c r="CW22" s="40"/>
      <c r="CX22" s="40"/>
      <c r="CY22" s="44"/>
      <c r="CZ22" s="40"/>
      <c r="DA22" s="40"/>
      <c r="DB22" s="40"/>
      <c r="DC22" s="40"/>
      <c r="DD22" s="40"/>
      <c r="DE22" s="40"/>
      <c r="DF22" s="40"/>
      <c r="DG22" s="40"/>
      <c r="DH22" s="40"/>
      <c r="DI22" s="40"/>
      <c r="DJ22" s="40"/>
      <c r="DK22" s="40"/>
      <c r="DL22" s="40"/>
      <c r="DM22" s="40"/>
      <c r="DN22" s="40"/>
      <c r="DO22" s="40"/>
      <c r="DP22" s="40"/>
      <c r="DQ22" s="47"/>
      <c r="DR22" s="47"/>
      <c r="DS22" s="47"/>
      <c r="DT22" s="47"/>
      <c r="DU22" s="47"/>
      <c r="DV22" s="47"/>
      <c r="DW22" s="47"/>
      <c r="DX22" s="47"/>
      <c r="DY22" s="47"/>
      <c r="DZ22" s="47"/>
      <c r="EA22" s="47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40"/>
      <c r="EN22" s="40"/>
      <c r="EO22" s="40"/>
      <c r="EP22" s="40"/>
      <c r="EQ22" s="40"/>
      <c r="ER22" s="40"/>
      <c r="ES22" s="40"/>
      <c r="ET22" s="40"/>
      <c r="EU22" s="40"/>
      <c r="EV22" s="40"/>
      <c r="EW22" s="40"/>
      <c r="EX22" s="40"/>
      <c r="EY22" s="40"/>
      <c r="EZ22" s="40"/>
      <c r="FA22" s="40"/>
      <c r="FB22" s="40"/>
      <c r="FC22" s="40"/>
      <c r="FD22" s="40"/>
      <c r="FE22" s="40"/>
      <c r="FF22" s="40"/>
      <c r="FG22" s="40"/>
      <c r="FH22" s="40"/>
      <c r="FI22" s="40"/>
      <c r="FJ22" s="40"/>
      <c r="FK22" s="40"/>
      <c r="FL22" s="40"/>
      <c r="FM22" s="40"/>
      <c r="FN22" s="40"/>
      <c r="FO22" s="40"/>
    </row>
    <row r="23" spans="2:171" s="34" customFormat="1" ht="15" customHeight="1">
      <c r="B23" s="37" t="s">
        <v>152</v>
      </c>
      <c r="C23" s="34">
        <f>(5+55/60+11/3600)</f>
        <v>5.9197222222222221</v>
      </c>
      <c r="D23" s="34">
        <f>7+24.3/60</f>
        <v>7.4050000000000002</v>
      </c>
      <c r="E23" s="38">
        <f>MOD(360-(C23+((3.075+1.336*SIN(RADIANS(C23))*TAN(RADIANS(D23)))*(OBSERVATIONS!$U$35-36526)/365)/3600)*15,360)</f>
        <v>270.89886559672846</v>
      </c>
      <c r="F23" s="38">
        <f>D23+(20.04*COS(RADIANS(C23*15))*(OBSERVATIONS!$U$35-36526)/365)/3600</f>
        <v>7.4077714037977573</v>
      </c>
      <c r="G23" s="38">
        <f>-17.3*SIN(RADIANS(125-0.05295*(OBSERVATIONS!$U$35-2451545)))-1.4*SIN(RADIANS(200+1.97129*(OBSERVATIONS!$U$35-2451545)))</f>
        <v>-15.507213434549312</v>
      </c>
      <c r="H23" s="38">
        <f>9.4*COS(RADIANS(125-0.05295*(OBSERVATIONS!$U$35-2451545)))+0.7*COS(RADIANS(200+1.97129*(OBSERVATIONS!$U$35-2451545)))</f>
        <v>-2.1041300782981658</v>
      </c>
      <c r="I23" s="41">
        <f t="shared" si="228"/>
        <v>270.89877924264243</v>
      </c>
      <c r="J23" s="41">
        <f t="shared" si="229"/>
        <v>7.4076751130294713</v>
      </c>
      <c r="L23" s="39"/>
      <c r="N23" s="40"/>
      <c r="O23" s="42" t="s">
        <v>147</v>
      </c>
      <c r="P23" s="40">
        <v>0</v>
      </c>
      <c r="Q23" s="40"/>
      <c r="R23" s="40"/>
      <c r="S23" s="40"/>
      <c r="T23" s="40"/>
      <c r="U23" s="40"/>
      <c r="V23" s="40"/>
      <c r="W23" s="40"/>
      <c r="X23" s="40"/>
      <c r="Y23" s="40">
        <f>MOD(V$4+OBSERVATIONS!$AO$13+I18,360)</f>
        <v>104.52797718219506</v>
      </c>
      <c r="Z23" s="40">
        <f t="shared" si="238"/>
        <v>104.52797718219506</v>
      </c>
      <c r="AA23" s="40">
        <f t="shared" si="247"/>
        <v>-26.478642610051264</v>
      </c>
      <c r="AB23" s="40">
        <f t="shared" si="239"/>
        <v>1</v>
      </c>
      <c r="AC23" s="40">
        <f>ABS(TAN(RADIANS(ABS(OBSERVATIONS!$AO$12)))/TAN(RADIANS(ABS(Z23))))</f>
        <v>0.37808477973072357</v>
      </c>
      <c r="AD23" s="40">
        <f>IF(AB23=0,IF(OBSERVATIONS!$AY$35="N",-AC23,AC23),IF(OBSERVATIONS!$AY$35="N",AC23,-AC23))</f>
        <v>0.37808477973072357</v>
      </c>
      <c r="AE23" s="40">
        <f t="shared" si="240"/>
        <v>-0.51456949941812302</v>
      </c>
      <c r="AF23" s="40">
        <f t="shared" si="241"/>
        <v>-0.13648471968739945</v>
      </c>
      <c r="AG23" s="40">
        <f>ABS(DEGREES(ATAN(1/(COS(RADIANS(ABS(OBSERVATIONS!$AO$12)))*AF23))))</f>
        <v>85.587699330790514</v>
      </c>
      <c r="AH23" s="40">
        <f t="shared" si="242"/>
        <v>265.58769933079054</v>
      </c>
      <c r="AI23" s="40">
        <f>AA23-OBSERVATIONS!$AO$12</f>
        <v>-82.051975943384591</v>
      </c>
      <c r="AJ23" s="44">
        <f>DEGREES(ASIN(SIN(RADIANS(OBSERVATIONS!$AO$12))*SIN(RADIANS(AA23))+COS(RADIANS(OBSERVATIONS!$AO$12))*COS(RADIANS(AA23))*COS(RADIANS(Y23))))</f>
        <v>-29.650912451506301</v>
      </c>
      <c r="AK23" s="44">
        <f t="shared" si="243"/>
        <v>-29.650912451506301</v>
      </c>
      <c r="AL23" s="37" t="s">
        <v>147</v>
      </c>
      <c r="AM23" s="44">
        <f t="shared" si="244"/>
        <v>265.58769933079054</v>
      </c>
      <c r="AN23" s="44">
        <f t="shared" si="245"/>
        <v>-29.650912451506301</v>
      </c>
      <c r="AO23" s="44"/>
      <c r="AP23" s="44"/>
      <c r="AQ23" s="44"/>
      <c r="AR23" s="44"/>
      <c r="AS23" s="40"/>
      <c r="AT23" s="44"/>
      <c r="AU23" s="40"/>
      <c r="AV23" s="44"/>
      <c r="AW23" s="40"/>
      <c r="AX23" s="44"/>
      <c r="AY23" s="40"/>
      <c r="AZ23" s="40"/>
      <c r="BA23" s="40"/>
      <c r="BB23" s="40"/>
      <c r="BC23" s="40"/>
      <c r="BD23" s="41"/>
      <c r="BF23" s="41"/>
      <c r="BH23" s="41"/>
      <c r="BI23" s="41"/>
      <c r="BJ23" s="41"/>
      <c r="BK23" s="41"/>
      <c r="BL23" s="41"/>
      <c r="BN23" s="41"/>
      <c r="BO23" s="41"/>
      <c r="BP23" s="41"/>
      <c r="BQ23" s="41"/>
      <c r="BX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L23" s="41"/>
      <c r="CM23" s="41"/>
      <c r="CN23" s="41"/>
      <c r="CO23" s="41"/>
      <c r="CP23" s="41"/>
      <c r="CR23" s="41"/>
      <c r="CS23" s="41"/>
      <c r="CT23" s="41"/>
      <c r="CU23" s="41"/>
      <c r="CV23" s="41"/>
      <c r="CW23" s="40"/>
      <c r="CX23" s="40"/>
      <c r="CY23" s="44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7"/>
      <c r="DR23" s="47"/>
      <c r="DS23" s="47"/>
      <c r="DT23" s="47"/>
      <c r="DU23" s="47"/>
      <c r="DV23" s="47"/>
      <c r="DW23" s="47"/>
      <c r="DX23" s="47"/>
      <c r="DY23" s="47"/>
      <c r="DZ23" s="47"/>
      <c r="EA23" s="47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40"/>
      <c r="EN23" s="40"/>
      <c r="EO23" s="40"/>
      <c r="EP23" s="40"/>
      <c r="EQ23" s="40"/>
      <c r="ER23" s="40"/>
      <c r="ES23" s="40"/>
      <c r="ET23" s="40"/>
      <c r="EU23" s="40"/>
      <c r="EV23" s="40"/>
      <c r="EW23" s="40"/>
      <c r="EX23" s="40"/>
      <c r="EY23" s="40"/>
      <c r="EZ23" s="40"/>
      <c r="FA23" s="40"/>
      <c r="FB23" s="40"/>
      <c r="FC23" s="40"/>
      <c r="FD23" s="40"/>
      <c r="FE23" s="40"/>
      <c r="FF23" s="40"/>
      <c r="FG23" s="40"/>
      <c r="FH23" s="40"/>
      <c r="FI23" s="40"/>
      <c r="FJ23" s="40"/>
      <c r="FK23" s="40"/>
      <c r="FL23" s="40"/>
      <c r="FM23" s="40"/>
      <c r="FN23" s="40"/>
      <c r="FO23" s="40"/>
    </row>
    <row r="24" spans="2:171" s="34" customFormat="1" ht="15" customHeight="1">
      <c r="B24" s="37" t="s">
        <v>153</v>
      </c>
      <c r="C24" s="34">
        <f>(6+23/60+59/3600)</f>
        <v>6.3997222222222225</v>
      </c>
      <c r="D24" s="34">
        <f>-52-41.9/60</f>
        <v>-52.698333333333331</v>
      </c>
      <c r="E24" s="38">
        <f>MOD(360-(C24+((3.075+1.336*SIN(RADIANS(C24))*TAN(RADIANS(D24)))*(OBSERVATIONS!$U$35-36526)/365)/3600)*15,360)</f>
        <v>263.71992797793462</v>
      </c>
      <c r="F24" s="38">
        <f>D24+(20.04*COS(RADIANS(C24*15))*(OBSERVATIONS!$U$35-36526)/365)/3600</f>
        <v>-52.712108656029791</v>
      </c>
      <c r="G24" s="38">
        <f>-17.3*SIN(RADIANS(125-0.05295*(OBSERVATIONS!$U$35-2451545)))-1.4*SIN(RADIANS(200+1.97129*(OBSERVATIONS!$U$35-2451545)))</f>
        <v>-15.507213434549312</v>
      </c>
      <c r="H24" s="38">
        <f>9.4*COS(RADIANS(125-0.05295*(OBSERVATIONS!$U$35-2451545)))+0.7*COS(RADIANS(200+1.97129*(OBSERVATIONS!$U$35-2451545)))</f>
        <v>-2.1041300782981658</v>
      </c>
      <c r="I24" s="41">
        <f t="shared" si="228"/>
        <v>263.72164917905468</v>
      </c>
      <c r="J24" s="41">
        <f t="shared" si="229"/>
        <v>-52.711994814126669</v>
      </c>
      <c r="L24" s="39"/>
      <c r="N24" s="40"/>
      <c r="O24" s="42" t="s">
        <v>148</v>
      </c>
      <c r="P24" s="40">
        <v>0</v>
      </c>
      <c r="Q24" s="40"/>
      <c r="R24" s="40"/>
      <c r="S24" s="40"/>
      <c r="T24" s="40"/>
      <c r="U24" s="40"/>
      <c r="V24" s="40"/>
      <c r="W24" s="40"/>
      <c r="X24" s="40"/>
      <c r="Y24" s="40">
        <f>MOD(V$4+OBSERVATIONS!$AO$13+I19,360)</f>
        <v>137.92386557201246</v>
      </c>
      <c r="Z24" s="40">
        <f t="shared" si="238"/>
        <v>137.92386557201246</v>
      </c>
      <c r="AA24" s="40">
        <f t="shared" si="247"/>
        <v>19.078501578277187</v>
      </c>
      <c r="AB24" s="40">
        <f t="shared" si="239"/>
        <v>1</v>
      </c>
      <c r="AC24" s="40">
        <f>ABS(TAN(RADIANS(ABS(OBSERVATIONS!$AO$12)))/TAN(RADIANS(ABS(Z24))))</f>
        <v>1.616066657795689</v>
      </c>
      <c r="AD24" s="40">
        <f>IF(AB24=0,IF(OBSERVATIONS!$AY$35="N",-AC24,AC24),IF(OBSERVATIONS!$AY$35="N",AC24,-AC24))</f>
        <v>1.616066657795689</v>
      </c>
      <c r="AE24" s="40">
        <f t="shared" si="240"/>
        <v>0.51611976886344302</v>
      </c>
      <c r="AF24" s="40">
        <f t="shared" si="241"/>
        <v>2.1321864266591319</v>
      </c>
      <c r="AG24" s="40">
        <f>ABS(DEGREES(ATAN(1/(COS(RADIANS(ABS(OBSERVATIONS!$AO$12)))*AF24))))</f>
        <v>39.678318841908741</v>
      </c>
      <c r="AH24" s="40">
        <f t="shared" si="242"/>
        <v>320.32168115809128</v>
      </c>
      <c r="AI24" s="40">
        <f>AA24-OBSERVATIONS!$AO$12</f>
        <v>-36.49483175505614</v>
      </c>
      <c r="AJ24" s="44">
        <f>DEGREES(ASIN(SIN(RADIANS(OBSERVATIONS!$AO$12))*SIN(RADIANS(AA24))+COS(RADIANS(OBSERVATIONS!$AO$12))*COS(RADIANS(AA24))*COS(RADIANS(Y24))))</f>
        <v>-7.2946157936569822</v>
      </c>
      <c r="AK24" s="44">
        <f t="shared" si="243"/>
        <v>-7.2946157936569822</v>
      </c>
      <c r="AL24" s="37" t="s">
        <v>148</v>
      </c>
      <c r="AM24" s="44">
        <f t="shared" si="244"/>
        <v>320.32168115809128</v>
      </c>
      <c r="AN24" s="44">
        <f t="shared" si="245"/>
        <v>-7.2946157936569822</v>
      </c>
      <c r="AO24" s="44"/>
      <c r="AP24" s="44"/>
      <c r="AQ24" s="44"/>
      <c r="AR24" s="44"/>
      <c r="AS24" s="40"/>
      <c r="AT24" s="44"/>
      <c r="AU24" s="40"/>
      <c r="AV24" s="44"/>
      <c r="AW24" s="40"/>
      <c r="AX24" s="44"/>
      <c r="AY24" s="40"/>
      <c r="AZ24" s="40"/>
      <c r="BA24" s="40"/>
      <c r="BB24" s="40"/>
      <c r="BC24" s="40"/>
      <c r="BD24" s="41"/>
      <c r="BF24" s="41"/>
      <c r="BH24" s="41"/>
      <c r="BI24" s="41"/>
      <c r="BJ24" s="41"/>
      <c r="BK24" s="41"/>
      <c r="BL24" s="41"/>
      <c r="BN24" s="41"/>
      <c r="BO24" s="41"/>
      <c r="BP24" s="41"/>
      <c r="BQ24" s="41"/>
      <c r="BX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L24" s="41"/>
      <c r="CM24" s="41"/>
      <c r="CN24" s="41"/>
      <c r="CO24" s="41"/>
      <c r="CP24" s="41"/>
      <c r="CR24" s="41"/>
      <c r="CS24" s="41"/>
      <c r="CT24" s="41"/>
      <c r="CU24" s="41"/>
      <c r="CV24" s="41"/>
      <c r="CW24" s="40"/>
      <c r="CX24" s="40"/>
      <c r="CY24" s="44"/>
      <c r="CZ24" s="40"/>
      <c r="DA24" s="40"/>
      <c r="DB24" s="40"/>
      <c r="DC24" s="40"/>
      <c r="DD24" s="40"/>
      <c r="DE24" s="40"/>
      <c r="DF24" s="40"/>
      <c r="DG24" s="40"/>
      <c r="DH24" s="40"/>
      <c r="DI24" s="40"/>
      <c r="DJ24" s="40"/>
      <c r="DK24" s="40"/>
      <c r="DL24" s="40"/>
      <c r="DM24" s="40"/>
      <c r="DN24" s="40"/>
      <c r="DO24" s="40"/>
      <c r="DP24" s="40"/>
      <c r="DQ24" s="47"/>
      <c r="DR24" s="47"/>
      <c r="DS24" s="47"/>
      <c r="DT24" s="47"/>
      <c r="DU24" s="47"/>
      <c r="DV24" s="47"/>
      <c r="DW24" s="47"/>
      <c r="DX24" s="47"/>
      <c r="DY24" s="47"/>
      <c r="DZ24" s="47"/>
      <c r="EA24" s="47"/>
      <c r="EB24" s="40"/>
      <c r="EC24" s="40"/>
      <c r="ED24" s="40"/>
      <c r="EE24" s="40"/>
      <c r="EF24" s="40"/>
      <c r="EG24" s="40"/>
      <c r="EH24" s="40"/>
      <c r="EI24" s="40"/>
      <c r="EJ24" s="40"/>
      <c r="EK24" s="40"/>
      <c r="EL24" s="40"/>
      <c r="EM24" s="40"/>
      <c r="EN24" s="40"/>
      <c r="EO24" s="40"/>
      <c r="EP24" s="40"/>
      <c r="EQ24" s="40"/>
      <c r="ER24" s="40"/>
      <c r="ES24" s="40"/>
      <c r="ET24" s="40"/>
      <c r="EU24" s="40"/>
      <c r="EV24" s="40"/>
      <c r="EW24" s="40"/>
      <c r="EX24" s="40"/>
      <c r="EY24" s="40"/>
      <c r="EZ24" s="40"/>
      <c r="FA24" s="40"/>
      <c r="FB24" s="40"/>
      <c r="FC24" s="40"/>
      <c r="FD24" s="40"/>
      <c r="FE24" s="40"/>
      <c r="FF24" s="40"/>
      <c r="FG24" s="40"/>
      <c r="FH24" s="40"/>
      <c r="FI24" s="40"/>
      <c r="FJ24" s="40"/>
      <c r="FK24" s="40"/>
      <c r="FL24" s="40"/>
      <c r="FM24" s="40"/>
      <c r="FN24" s="40"/>
      <c r="FO24" s="40"/>
    </row>
    <row r="25" spans="2:171" s="34" customFormat="1" ht="15" customHeight="1">
      <c r="B25" s="37" t="s">
        <v>154</v>
      </c>
      <c r="C25" s="34">
        <f>(5+16/60+42/3600)</f>
        <v>5.2783333333333333</v>
      </c>
      <c r="D25" s="34">
        <f>45+59.9/60</f>
        <v>45.998333333333335</v>
      </c>
      <c r="E25" s="38">
        <f>MOD(360-(C25+((3.075+1.336*SIN(RADIANS(C25))*TAN(RADIANS(D25)))*(OBSERVATIONS!$U$35-36526)/365)/3600)*15,360)</f>
        <v>280.50890442844417</v>
      </c>
      <c r="F25" s="38">
        <f>D25+(20.04*COS(RADIANS(C25*15))*(OBSERVATIONS!$U$35-36526)/365)/3600</f>
        <v>46.023101068389671</v>
      </c>
      <c r="G25" s="38">
        <f>-17.3*SIN(RADIANS(125-0.05295*(OBSERVATIONS!$U$35-2451545)))-1.4*SIN(RADIANS(200+1.97129*(OBSERVATIONS!$U$35-2451545)))</f>
        <v>-15.507213434549312</v>
      </c>
      <c r="H25" s="38">
        <f>9.4*COS(RADIANS(125-0.05295*(OBSERVATIONS!$U$35-2451545)))+0.7*COS(RADIANS(200+1.97129*(OBSERVATIONS!$U$35-2451545)))</f>
        <v>-2.1041300782981658</v>
      </c>
      <c r="I25" s="41">
        <f t="shared" si="228"/>
        <v>280.50757615283692</v>
      </c>
      <c r="J25" s="41">
        <f t="shared" si="229"/>
        <v>46.022725478551088</v>
      </c>
      <c r="L25" s="39"/>
      <c r="N25" s="40"/>
      <c r="O25" s="42" t="s">
        <v>149</v>
      </c>
      <c r="P25" s="40">
        <v>0</v>
      </c>
      <c r="Q25" s="40"/>
      <c r="R25" s="40"/>
      <c r="S25" s="40"/>
      <c r="T25" s="40"/>
      <c r="U25" s="40"/>
      <c r="V25" s="40"/>
      <c r="W25" s="40"/>
      <c r="X25" s="40"/>
      <c r="Y25" s="40">
        <f>MOD(V$4+OBSERVATIONS!$AO$13+I20,360)</f>
        <v>99.80207965984988</v>
      </c>
      <c r="Z25" s="40">
        <f t="shared" si="238"/>
        <v>99.80207965984988</v>
      </c>
      <c r="AA25" s="40">
        <f t="shared" si="247"/>
        <v>-69.06340974827053</v>
      </c>
      <c r="AB25" s="40">
        <f t="shared" si="239"/>
        <v>1</v>
      </c>
      <c r="AC25" s="40">
        <f>ABS(TAN(RADIANS(ABS(OBSERVATIONS!$AO$12)))/TAN(RADIANS(ABS(Z25))))</f>
        <v>0.25206863592900158</v>
      </c>
      <c r="AD25" s="40">
        <f>IF(AB25=0,IF(OBSERVATIONS!$AY$35="N",-AC25,AC25),IF(OBSERVATIONS!$AY$35="N",AC25,-AC25))</f>
        <v>0.25206863592900158</v>
      </c>
      <c r="AE25" s="40">
        <f t="shared" si="240"/>
        <v>-2.6524526077159201</v>
      </c>
      <c r="AF25" s="40">
        <f t="shared" si="241"/>
        <v>-2.4003839717869186</v>
      </c>
      <c r="AG25" s="40">
        <f>ABS(DEGREES(ATAN(1/(COS(RADIANS(ABS(OBSERVATIONS!$AO$12)))*AF25))))</f>
        <v>36.386034491069182</v>
      </c>
      <c r="AH25" s="40">
        <f t="shared" si="242"/>
        <v>216.38603449106918</v>
      </c>
      <c r="AI25" s="40">
        <f>AA25-OBSERVATIONS!$AO$12</f>
        <v>-124.63674308160387</v>
      </c>
      <c r="AJ25" s="44">
        <f>DEGREES(ASIN(SIN(RADIANS(OBSERVATIONS!$AO$12))*SIN(RADIANS(AA25))+COS(RADIANS(OBSERVATIONS!$AO$12))*COS(RADIANS(AA25))*COS(RADIANS(Y25))))</f>
        <v>-53.589377699139085</v>
      </c>
      <c r="AK25" s="44">
        <f t="shared" si="243"/>
        <v>-53.589377699139085</v>
      </c>
      <c r="AL25" s="37" t="s">
        <v>149</v>
      </c>
      <c r="AM25" s="44">
        <f t="shared" si="244"/>
        <v>216.38603449106918</v>
      </c>
      <c r="AN25" s="44">
        <f t="shared" si="245"/>
        <v>-53.589377699139085</v>
      </c>
      <c r="AO25" s="44"/>
      <c r="AP25" s="44"/>
      <c r="AQ25" s="44"/>
      <c r="AR25" s="44"/>
      <c r="AS25" s="40"/>
      <c r="AT25" s="44"/>
      <c r="AU25" s="40"/>
      <c r="AV25" s="44"/>
      <c r="AW25" s="40"/>
      <c r="AX25" s="44"/>
      <c r="AY25" s="40"/>
      <c r="AZ25" s="40"/>
      <c r="BA25" s="40"/>
      <c r="BB25" s="40"/>
      <c r="BC25" s="40"/>
      <c r="BD25" s="41"/>
      <c r="BF25" s="41"/>
      <c r="BH25" s="41"/>
      <c r="BI25" s="41"/>
      <c r="BJ25" s="41"/>
      <c r="BK25" s="41"/>
      <c r="BL25" s="41"/>
      <c r="BN25" s="41"/>
      <c r="BO25" s="41"/>
      <c r="BP25" s="41"/>
      <c r="BQ25" s="41"/>
      <c r="BX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L25" s="41"/>
      <c r="CM25" s="41"/>
      <c r="CN25" s="41"/>
      <c r="CO25" s="41"/>
      <c r="CP25" s="41"/>
      <c r="CR25" s="41"/>
      <c r="CS25" s="41"/>
      <c r="CT25" s="41"/>
      <c r="CU25" s="41"/>
      <c r="CV25" s="41"/>
      <c r="CW25" s="40"/>
      <c r="CX25" s="40"/>
      <c r="CY25" s="44"/>
      <c r="CZ25" s="40"/>
      <c r="DA25" s="40"/>
      <c r="DB25" s="40"/>
      <c r="DC25" s="40"/>
      <c r="DD25" s="40"/>
      <c r="DE25" s="40"/>
      <c r="DF25" s="40"/>
      <c r="DG25" s="40"/>
      <c r="DH25" s="40"/>
      <c r="DI25" s="40"/>
      <c r="DJ25" s="40"/>
      <c r="DK25" s="40"/>
      <c r="DL25" s="40"/>
      <c r="DM25" s="40"/>
      <c r="DN25" s="40"/>
      <c r="DO25" s="40"/>
      <c r="DP25" s="40"/>
      <c r="DQ25" s="47"/>
      <c r="DR25" s="47"/>
      <c r="DS25" s="47"/>
      <c r="DT25" s="47"/>
      <c r="DU25" s="47"/>
      <c r="DV25" s="47"/>
      <c r="DW25" s="47"/>
      <c r="DX25" s="47"/>
      <c r="DY25" s="47"/>
      <c r="DZ25" s="47"/>
      <c r="EA25" s="47"/>
      <c r="EB25" s="40"/>
      <c r="EC25" s="40"/>
      <c r="ED25" s="40"/>
      <c r="EE25" s="40"/>
      <c r="EF25" s="40"/>
      <c r="EG25" s="40"/>
      <c r="EH25" s="40"/>
      <c r="EI25" s="40"/>
      <c r="EJ25" s="40"/>
      <c r="EK25" s="40"/>
      <c r="EL25" s="40"/>
      <c r="EM25" s="40"/>
      <c r="EN25" s="40"/>
      <c r="EO25" s="40"/>
      <c r="EP25" s="40"/>
      <c r="EQ25" s="40"/>
      <c r="ER25" s="40"/>
      <c r="ES25" s="40"/>
      <c r="ET25" s="40"/>
      <c r="EU25" s="40"/>
      <c r="EV25" s="40"/>
      <c r="EW25" s="40"/>
      <c r="EX25" s="40"/>
      <c r="EY25" s="40"/>
      <c r="EZ25" s="40"/>
      <c r="FA25" s="40"/>
      <c r="FB25" s="40"/>
      <c r="FC25" s="40"/>
      <c r="FD25" s="40"/>
      <c r="FE25" s="40"/>
      <c r="FF25" s="40"/>
      <c r="FG25" s="40"/>
      <c r="FH25" s="40"/>
      <c r="FI25" s="40"/>
      <c r="FJ25" s="40"/>
      <c r="FK25" s="40"/>
      <c r="FL25" s="40"/>
      <c r="FM25" s="40"/>
      <c r="FN25" s="40"/>
      <c r="FO25" s="40"/>
    </row>
    <row r="26" spans="2:171" s="34" customFormat="1" ht="15" customHeight="1">
      <c r="B26" s="37" t="s">
        <v>155</v>
      </c>
      <c r="C26" s="34">
        <f>(20+41/60+24/3600)</f>
        <v>20.69</v>
      </c>
      <c r="D26" s="34">
        <f>45+16.9/60</f>
        <v>45.281666666666666</v>
      </c>
      <c r="E26" s="38">
        <f>MOD(360-(C26+((3.075+1.336*SIN(RADIANS(C26))*TAN(RADIANS(D26)))*(OBSERVATIONS!$U$35-36526)/365)/3600)*15,360)</f>
        <v>49.299412697662035</v>
      </c>
      <c r="F26" s="38">
        <f>D26+(20.04*COS(RADIANS(C26*15))*(OBSERVATIONS!$U$35-36526)/365)/3600</f>
        <v>45.367050855768625</v>
      </c>
      <c r="G26" s="38">
        <f>-17.3*SIN(RADIANS(125-0.05295*(OBSERVATIONS!$U$35-2451545)))-1.4*SIN(RADIANS(200+1.97129*(OBSERVATIONS!$U$35-2451545)))</f>
        <v>-15.507213434549312</v>
      </c>
      <c r="H26" s="38">
        <f>9.4*COS(RADIANS(125-0.05295*(OBSERVATIONS!$U$35-2451545)))+0.7*COS(RADIANS(200+1.97129*(OBSERVATIONS!$U$35-2451545)))</f>
        <v>-2.1041300782981658</v>
      </c>
      <c r="I26" s="41">
        <f t="shared" si="228"/>
        <v>49.301294404263842</v>
      </c>
      <c r="J26" s="41">
        <f t="shared" si="229"/>
        <v>45.365734907240316</v>
      </c>
      <c r="L26" s="39"/>
      <c r="N26" s="40"/>
      <c r="O26" s="42" t="s">
        <v>150</v>
      </c>
      <c r="P26" s="40">
        <v>0</v>
      </c>
      <c r="Q26" s="40"/>
      <c r="R26" s="40"/>
      <c r="S26" s="40"/>
      <c r="T26" s="40"/>
      <c r="U26" s="40"/>
      <c r="V26" s="40"/>
      <c r="W26" s="40"/>
      <c r="X26" s="40"/>
      <c r="Y26" s="40">
        <f>MOD(V$4+OBSERVATIONS!$AO$13+I21,360)</f>
        <v>226.24424826263976</v>
      </c>
      <c r="Z26" s="40">
        <f t="shared" si="238"/>
        <v>133.75575173736024</v>
      </c>
      <c r="AA26" s="40">
        <f t="shared" si="247"/>
        <v>-59.584258640397749</v>
      </c>
      <c r="AB26" s="40">
        <f t="shared" si="239"/>
        <v>1</v>
      </c>
      <c r="AC26" s="40">
        <f>ABS(TAN(RADIANS(ABS(OBSERVATIONS!$AO$12)))/TAN(RADIANS(ABS(Z26))))</f>
        <v>1.3969751220677669</v>
      </c>
      <c r="AD26" s="40">
        <f>IF(AB26=0,IF(OBSERVATIONS!$AY$35="N",-AC26,AC26),IF(OBSERVATIONS!$AY$35="N",AC26,-AC26))</f>
        <v>1.3969751220677669</v>
      </c>
      <c r="AE26" s="40">
        <f t="shared" si="240"/>
        <v>-2.3582987821668739</v>
      </c>
      <c r="AF26" s="40">
        <f t="shared" si="241"/>
        <v>-0.96132366009910708</v>
      </c>
      <c r="AG26" s="40">
        <f>ABS(DEGREES(ATAN(1/(COS(RADIANS(ABS(OBSERVATIONS!$AO$12)))*AF26))))</f>
        <v>61.476571756829792</v>
      </c>
      <c r="AH26" s="40">
        <f t="shared" si="242"/>
        <v>118.5234282431702</v>
      </c>
      <c r="AI26" s="40">
        <f>AA26-OBSERVATIONS!$AO$12</f>
        <v>-115.15759197373109</v>
      </c>
      <c r="AJ26" s="44">
        <f>DEGREES(ASIN(SIN(RADIANS(OBSERVATIONS!$AO$12))*SIN(RADIANS(AA26))+COS(RADIANS(OBSERVATIONS!$AO$12))*COS(RADIANS(AA26))*COS(RADIANS(Y26))))</f>
        <v>-65.405512518216767</v>
      </c>
      <c r="AK26" s="44">
        <f t="shared" si="243"/>
        <v>-65.405512518216767</v>
      </c>
      <c r="AL26" s="37" t="s">
        <v>150</v>
      </c>
      <c r="AM26" s="44">
        <f t="shared" si="244"/>
        <v>118.5234282431702</v>
      </c>
      <c r="AN26" s="44">
        <f t="shared" si="245"/>
        <v>-65.405512518216767</v>
      </c>
      <c r="AO26" s="44"/>
      <c r="AP26" s="44"/>
      <c r="AQ26" s="44"/>
      <c r="AR26" s="44"/>
      <c r="AS26" s="40"/>
      <c r="AT26" s="44"/>
      <c r="AU26" s="40"/>
      <c r="AV26" s="44"/>
      <c r="AW26" s="40"/>
      <c r="AX26" s="44"/>
      <c r="AY26" s="40"/>
      <c r="AZ26" s="40"/>
      <c r="BA26" s="40"/>
      <c r="BB26" s="40"/>
      <c r="BC26" s="40"/>
      <c r="BD26" s="41"/>
      <c r="BF26" s="41"/>
      <c r="BH26" s="41"/>
      <c r="BI26" s="41"/>
      <c r="BJ26" s="41"/>
      <c r="BK26" s="41"/>
      <c r="BL26" s="41"/>
      <c r="BN26" s="41"/>
      <c r="BO26" s="41"/>
      <c r="BP26" s="41"/>
      <c r="BQ26" s="41"/>
      <c r="BX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L26" s="41"/>
      <c r="CM26" s="41"/>
      <c r="CN26" s="41"/>
      <c r="CO26" s="41"/>
      <c r="CP26" s="41"/>
      <c r="CR26" s="41"/>
      <c r="CS26" s="41"/>
      <c r="CT26" s="41"/>
      <c r="CU26" s="41"/>
      <c r="CV26" s="41"/>
      <c r="CW26" s="40"/>
      <c r="CX26" s="40"/>
      <c r="CY26" s="44"/>
      <c r="CZ26" s="40"/>
      <c r="DA26" s="40"/>
      <c r="DB26" s="40"/>
      <c r="DC26" s="40"/>
      <c r="DD26" s="40"/>
      <c r="DE26" s="40"/>
      <c r="DF26" s="40"/>
      <c r="DG26" s="40"/>
      <c r="DH26" s="40"/>
      <c r="DI26" s="40"/>
      <c r="DJ26" s="40"/>
      <c r="DK26" s="40"/>
      <c r="DL26" s="40"/>
      <c r="DM26" s="40"/>
      <c r="DN26" s="40"/>
      <c r="DO26" s="40"/>
      <c r="DP26" s="40"/>
      <c r="DQ26" s="47"/>
      <c r="DR26" s="47"/>
      <c r="DS26" s="47"/>
      <c r="DT26" s="47"/>
      <c r="DU26" s="47"/>
      <c r="DV26" s="47"/>
      <c r="DW26" s="47"/>
      <c r="DX26" s="47"/>
      <c r="DY26" s="47"/>
      <c r="DZ26" s="47"/>
      <c r="EA26" s="47"/>
      <c r="EB26" s="40"/>
      <c r="EC26" s="40"/>
      <c r="ED26" s="40"/>
      <c r="EE26" s="40"/>
      <c r="EF26" s="40"/>
      <c r="EG26" s="40"/>
      <c r="EH26" s="40"/>
      <c r="EI26" s="40"/>
      <c r="EJ26" s="40"/>
      <c r="EK26" s="40"/>
      <c r="EL26" s="40"/>
      <c r="EM26" s="40"/>
      <c r="EN26" s="40"/>
      <c r="EO26" s="40"/>
      <c r="EP26" s="40"/>
      <c r="EQ26" s="40"/>
      <c r="ER26" s="40"/>
      <c r="ES26" s="40"/>
      <c r="ET26" s="40"/>
      <c r="EU26" s="40"/>
      <c r="EV26" s="40"/>
      <c r="EW26" s="40"/>
      <c r="EX26" s="40"/>
      <c r="EY26" s="40"/>
      <c r="EZ26" s="40"/>
      <c r="FA26" s="40"/>
      <c r="FB26" s="40"/>
      <c r="FC26" s="40"/>
      <c r="FD26" s="40"/>
      <c r="FE26" s="40"/>
      <c r="FF26" s="40"/>
      <c r="FG26" s="40"/>
      <c r="FH26" s="40"/>
      <c r="FI26" s="40"/>
      <c r="FJ26" s="40"/>
      <c r="FK26" s="40"/>
      <c r="FL26" s="40"/>
      <c r="FM26" s="40"/>
      <c r="FN26" s="40"/>
      <c r="FO26" s="40"/>
    </row>
    <row r="27" spans="2:171" s="34" customFormat="1" ht="15" customHeight="1">
      <c r="B27" s="37" t="s">
        <v>156</v>
      </c>
      <c r="C27" s="34">
        <f>(11+49/60+3/3600)</f>
        <v>11.817499999999999</v>
      </c>
      <c r="D27" s="34">
        <f>14+34.3/60</f>
        <v>14.571666666666667</v>
      </c>
      <c r="E27" s="38">
        <f>MOD(360-(C27+((3.075+1.336*SIN(RADIANS(C27))*TAN(RADIANS(D27)))*(OBSERVATIONS!$U$35-36526)/365)/3600)*15,360)</f>
        <v>182.42694589702174</v>
      </c>
      <c r="F27" s="38">
        <f>D27+(20.04*COS(RADIANS(C27*15))*(OBSERVATIONS!$U$35-36526)/365)/3600</f>
        <v>14.439940539316515</v>
      </c>
      <c r="G27" s="38">
        <f>-17.3*SIN(RADIANS(125-0.05295*(OBSERVATIONS!$U$35-2451545)))-1.4*SIN(RADIANS(200+1.97129*(OBSERVATIONS!$U$35-2451545)))</f>
        <v>-15.507213434549312</v>
      </c>
      <c r="H27" s="38">
        <f>9.4*COS(RADIANS(125-0.05295*(OBSERVATIONS!$U$35-2451545)))+0.7*COS(RADIANS(200+1.97129*(OBSERVATIONS!$U$35-2451545)))</f>
        <v>-2.1041300782981658</v>
      </c>
      <c r="I27" s="41">
        <f t="shared" si="228"/>
        <v>182.42581471445044</v>
      </c>
      <c r="J27" s="41">
        <f t="shared" si="229"/>
        <v>14.441532432240654</v>
      </c>
      <c r="L27" s="39"/>
      <c r="N27" s="40"/>
      <c r="O27" s="42" t="s">
        <v>151</v>
      </c>
      <c r="P27" s="40">
        <v>0</v>
      </c>
      <c r="Q27" s="40"/>
      <c r="R27" s="40"/>
      <c r="S27" s="40"/>
      <c r="T27" s="40"/>
      <c r="U27" s="40"/>
      <c r="V27" s="40"/>
      <c r="W27" s="40"/>
      <c r="X27" s="40"/>
      <c r="Y27" s="40">
        <f>MOD(V$4+OBSERVATIONS!$AO$13+I22,360)</f>
        <v>270.56451105584506</v>
      </c>
      <c r="Z27" s="40">
        <f t="shared" si="238"/>
        <v>89.43548894415494</v>
      </c>
      <c r="AA27" s="40">
        <f t="shared" si="247"/>
        <v>6.3680041367646298</v>
      </c>
      <c r="AB27" s="40">
        <f t="shared" si="239"/>
        <v>0</v>
      </c>
      <c r="AC27" s="40">
        <f>ABS(TAN(RADIANS(ABS(OBSERVATIONS!$AO$12)))/TAN(RADIANS(ABS(Z27))))</f>
        <v>1.4375433651525634E-2</v>
      </c>
      <c r="AD27" s="40">
        <f>IF(AB27=0,IF(OBSERVATIONS!$AY$35="N",-AC27,AC27),IF(OBSERVATIONS!$AY$35="N",AC27,-AC27))</f>
        <v>-1.4375433651525634E-2</v>
      </c>
      <c r="AE27" s="40">
        <f t="shared" si="240"/>
        <v>0.111607965292053</v>
      </c>
      <c r="AF27" s="40">
        <f t="shared" si="241"/>
        <v>9.7232531640527364E-2</v>
      </c>
      <c r="AG27" s="40">
        <f>ABS(DEGREES(ATAN(1/(COS(RADIANS(ABS(OBSERVATIONS!$AO$12)))*AF27))))</f>
        <v>86.853588697916194</v>
      </c>
      <c r="AH27" s="40">
        <f t="shared" si="242"/>
        <v>86.853588697916194</v>
      </c>
      <c r="AI27" s="40">
        <f>AA27-OBSERVATIONS!$AO$12</f>
        <v>-49.205329196568698</v>
      </c>
      <c r="AJ27" s="44">
        <f>DEGREES(ASIN(SIN(RADIANS(OBSERVATIONS!$AO$12))*SIN(RADIANS(AA27))+COS(RADIANS(OBSERVATIONS!$AO$12))*COS(RADIANS(AA27))*COS(RADIANS(Y27))))</f>
        <v>5.5677751537890847</v>
      </c>
      <c r="AK27" s="44">
        <f t="shared" si="243"/>
        <v>5.5677751537890847</v>
      </c>
      <c r="AL27" s="37" t="s">
        <v>151</v>
      </c>
      <c r="AM27" s="44">
        <f t="shared" si="244"/>
        <v>86.853588697916194</v>
      </c>
      <c r="AN27" s="44">
        <f t="shared" si="245"/>
        <v>5.5677751537890847</v>
      </c>
      <c r="AO27" s="44"/>
      <c r="AP27" s="44"/>
      <c r="AQ27" s="44"/>
      <c r="AR27" s="44"/>
      <c r="AS27" s="40"/>
      <c r="AT27" s="44"/>
      <c r="AU27" s="40"/>
      <c r="AV27" s="44"/>
      <c r="AW27" s="40"/>
      <c r="AX27" s="44"/>
      <c r="AY27" s="40"/>
      <c r="AZ27" s="40"/>
      <c r="BA27" s="40"/>
      <c r="BB27" s="40"/>
      <c r="BC27" s="40"/>
      <c r="BD27" s="41"/>
      <c r="BF27" s="41"/>
      <c r="BH27" s="41"/>
      <c r="BI27" s="41"/>
      <c r="BJ27" s="41"/>
      <c r="BK27" s="41"/>
      <c r="BL27" s="41"/>
      <c r="BN27" s="41"/>
      <c r="BO27" s="41"/>
      <c r="BP27" s="41"/>
      <c r="BQ27" s="41"/>
      <c r="BX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L27" s="41"/>
      <c r="CM27" s="41"/>
      <c r="CN27" s="41"/>
      <c r="CO27" s="41"/>
      <c r="CP27" s="41"/>
      <c r="CR27" s="41"/>
      <c r="CS27" s="41"/>
      <c r="CT27" s="41"/>
      <c r="CU27" s="41"/>
      <c r="CV27" s="41"/>
      <c r="CW27" s="40"/>
      <c r="CX27" s="40"/>
      <c r="CY27" s="44"/>
      <c r="CZ27" s="40"/>
      <c r="DA27" s="40"/>
      <c r="DB27" s="40"/>
      <c r="DC27" s="40"/>
      <c r="DD27" s="40"/>
      <c r="DE27" s="40"/>
      <c r="DF27" s="40"/>
      <c r="DG27" s="40"/>
      <c r="DH27" s="40"/>
      <c r="DI27" s="40"/>
      <c r="DJ27" s="40"/>
      <c r="DK27" s="40"/>
      <c r="DL27" s="40"/>
      <c r="DM27" s="40"/>
      <c r="DN27" s="40"/>
      <c r="DO27" s="40"/>
      <c r="DP27" s="40"/>
      <c r="DQ27" s="47"/>
      <c r="DR27" s="47"/>
      <c r="DS27" s="47"/>
      <c r="DT27" s="47"/>
      <c r="DU27" s="47"/>
      <c r="DV27" s="47"/>
      <c r="DW27" s="47"/>
      <c r="DX27" s="47"/>
      <c r="DY27" s="47"/>
      <c r="DZ27" s="47"/>
      <c r="EA27" s="47"/>
      <c r="EB27" s="40"/>
      <c r="EC27" s="40"/>
      <c r="ED27" s="40"/>
      <c r="EE27" s="40"/>
      <c r="EF27" s="40"/>
      <c r="EG27" s="40"/>
      <c r="EH27" s="40"/>
      <c r="EI27" s="40"/>
      <c r="EJ27" s="40"/>
      <c r="EK27" s="40"/>
      <c r="EL27" s="40"/>
      <c r="EM27" s="40"/>
      <c r="EN27" s="40"/>
      <c r="EO27" s="40"/>
      <c r="EP27" s="40"/>
      <c r="EQ27" s="40"/>
      <c r="ER27" s="40"/>
      <c r="ES27" s="40"/>
      <c r="ET27" s="40"/>
      <c r="EU27" s="40"/>
      <c r="EV27" s="40"/>
      <c r="EW27" s="40"/>
      <c r="EX27" s="40"/>
      <c r="EY27" s="40"/>
      <c r="EZ27" s="40"/>
      <c r="FA27" s="40"/>
      <c r="FB27" s="40"/>
      <c r="FC27" s="40"/>
      <c r="FD27" s="40"/>
      <c r="FE27" s="40"/>
      <c r="FF27" s="40"/>
      <c r="FG27" s="40"/>
      <c r="FH27" s="40"/>
      <c r="FI27" s="40"/>
      <c r="FJ27" s="40"/>
      <c r="FK27" s="40"/>
      <c r="FL27" s="40"/>
      <c r="FM27" s="40"/>
      <c r="FN27" s="40"/>
      <c r="FO27" s="40"/>
    </row>
    <row r="28" spans="2:171" s="34" customFormat="1" ht="15" customHeight="1">
      <c r="B28" s="37" t="s">
        <v>157</v>
      </c>
      <c r="C28" s="34">
        <f>(0+43/60+34/3600)</f>
        <v>0.72611111111111115</v>
      </c>
      <c r="D28" s="34">
        <f>-17-59.4/60</f>
        <v>-17.989999999999998</v>
      </c>
      <c r="E28" s="38">
        <f>MOD(360-(C28+((3.075+1.336*SIN(RADIANS(C28))*TAN(RADIANS(D28)))*(OBSERVATIONS!$U$35-36526)/365)/3600)*15,360)</f>
        <v>348.80534263652197</v>
      </c>
      <c r="F28" s="38">
        <f>D28+(20.04*COS(RADIANS(C28*15))*(OBSERVATIONS!$U$35-36526)/365)/3600</f>
        <v>-17.860498977394684</v>
      </c>
      <c r="G28" s="38">
        <f>-17.3*SIN(RADIANS(125-0.05295*(OBSERVATIONS!$U$35-2451545)))-1.4*SIN(RADIANS(200+1.97129*(OBSERVATIONS!$U$35-2451545)))</f>
        <v>-15.507213434549312</v>
      </c>
      <c r="H28" s="38">
        <f>9.4*COS(RADIANS(125-0.05295*(OBSERVATIONS!$U$35-2451545)))+0.7*COS(RADIANS(200+1.97129*(OBSERVATIONS!$U$35-2451545)))</f>
        <v>-2.1041300782981658</v>
      </c>
      <c r="I28" s="41">
        <f t="shared" si="228"/>
        <v>348.80551682862477</v>
      </c>
      <c r="J28" s="41">
        <f t="shared" si="229"/>
        <v>-17.862189063934917</v>
      </c>
      <c r="L28" s="39"/>
      <c r="N28" s="40"/>
      <c r="O28" s="42" t="s">
        <v>152</v>
      </c>
      <c r="P28" s="40">
        <v>0</v>
      </c>
      <c r="Q28" s="40"/>
      <c r="R28" s="40"/>
      <c r="S28" s="40"/>
      <c r="T28" s="40"/>
      <c r="U28" s="40"/>
      <c r="V28" s="40"/>
      <c r="W28" s="40"/>
      <c r="X28" s="40"/>
      <c r="Y28" s="40">
        <f>MOD(V$4+OBSERVATIONS!$AO$13+I23,360)</f>
        <v>263.05154720543055</v>
      </c>
      <c r="Z28" s="40">
        <f t="shared" si="238"/>
        <v>96.948452794569448</v>
      </c>
      <c r="AA28" s="40">
        <f t="shared" si="247"/>
        <v>7.4076751130294713</v>
      </c>
      <c r="AB28" s="40">
        <f t="shared" si="239"/>
        <v>1</v>
      </c>
      <c r="AC28" s="40">
        <f>ABS(TAN(RADIANS(ABS(OBSERVATIONS!$AO$12)))/TAN(RADIANS(ABS(Z28))))</f>
        <v>0.17781114870779849</v>
      </c>
      <c r="AD28" s="40">
        <f>IF(AB28=0,IF(OBSERVATIONS!$AY$35="N",-AC28,AC28),IF(OBSERVATIONS!$AY$35="N",AC28,-AC28))</f>
        <v>0.17781114870779849</v>
      </c>
      <c r="AE28" s="40">
        <f t="shared" si="240"/>
        <v>0.13097550541817099</v>
      </c>
      <c r="AF28" s="40">
        <f t="shared" si="241"/>
        <v>0.30878665412596951</v>
      </c>
      <c r="AG28" s="40">
        <f>ABS(DEGREES(ATAN(1/(COS(RADIANS(ABS(OBSERVATIONS!$AO$12)))*AF28))))</f>
        <v>80.0975037742853</v>
      </c>
      <c r="AH28" s="40">
        <f t="shared" si="242"/>
        <v>80.0975037742853</v>
      </c>
      <c r="AI28" s="40">
        <f>AA28-OBSERVATIONS!$AO$12</f>
        <v>-48.165658220303861</v>
      </c>
      <c r="AJ28" s="44">
        <f>DEGREES(ASIN(SIN(RADIANS(OBSERVATIONS!$AO$12))*SIN(RADIANS(AA28))+COS(RADIANS(OBSERVATIONS!$AO$12))*COS(RADIANS(AA28))*COS(RADIANS(Y28))))</f>
        <v>2.2077755316511092</v>
      </c>
      <c r="AK28" s="44">
        <f t="shared" si="243"/>
        <v>2.2077755316511092</v>
      </c>
      <c r="AL28" s="37" t="s">
        <v>152</v>
      </c>
      <c r="AM28" s="44">
        <f t="shared" si="244"/>
        <v>80.0975037742853</v>
      </c>
      <c r="AN28" s="44">
        <f t="shared" si="245"/>
        <v>2.2077755316511092</v>
      </c>
      <c r="AO28" s="44"/>
      <c r="AP28" s="44"/>
      <c r="AQ28" s="44"/>
      <c r="AR28" s="44"/>
      <c r="AS28" s="40"/>
      <c r="AT28" s="44"/>
      <c r="AU28" s="40"/>
      <c r="AV28" s="44"/>
      <c r="AW28" s="40"/>
      <c r="AX28" s="44"/>
      <c r="AY28" s="40"/>
      <c r="AZ28" s="40"/>
      <c r="BA28" s="40"/>
      <c r="BB28" s="40"/>
      <c r="BC28" s="40"/>
      <c r="BD28" s="41"/>
      <c r="BF28" s="41"/>
      <c r="BH28" s="41"/>
      <c r="BI28" s="41"/>
      <c r="BJ28" s="41"/>
      <c r="BK28" s="41"/>
      <c r="BL28" s="41"/>
      <c r="BN28" s="41"/>
      <c r="BO28" s="41"/>
      <c r="BP28" s="41"/>
      <c r="BQ28" s="41"/>
      <c r="BX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L28" s="41"/>
      <c r="CM28" s="41"/>
      <c r="CN28" s="41"/>
      <c r="CO28" s="41"/>
      <c r="CP28" s="41"/>
      <c r="CR28" s="41"/>
      <c r="CS28" s="41"/>
      <c r="CT28" s="41"/>
      <c r="CU28" s="41"/>
      <c r="CV28" s="41"/>
      <c r="CW28" s="40"/>
      <c r="CX28" s="40"/>
      <c r="CY28" s="44"/>
      <c r="CZ28" s="40"/>
      <c r="DA28" s="40"/>
      <c r="DB28" s="40"/>
      <c r="DC28" s="40"/>
      <c r="DD28" s="40"/>
      <c r="DE28" s="40"/>
      <c r="DF28" s="40"/>
      <c r="DG28" s="40"/>
      <c r="DH28" s="40"/>
      <c r="DI28" s="40"/>
      <c r="DJ28" s="40"/>
      <c r="DK28" s="40"/>
      <c r="DL28" s="40"/>
      <c r="DM28" s="40"/>
      <c r="DN28" s="40"/>
      <c r="DO28" s="40"/>
      <c r="DP28" s="40"/>
      <c r="DQ28" s="47"/>
      <c r="DR28" s="47"/>
      <c r="DS28" s="47"/>
      <c r="DT28" s="47"/>
      <c r="DU28" s="47"/>
      <c r="DV28" s="47"/>
      <c r="DW28" s="47"/>
      <c r="DX28" s="47"/>
      <c r="DY28" s="47"/>
      <c r="DZ28" s="47"/>
      <c r="EA28" s="47"/>
      <c r="EB28" s="40"/>
      <c r="EC28" s="40"/>
      <c r="ED28" s="40"/>
      <c r="EE28" s="40"/>
      <c r="EF28" s="40"/>
      <c r="EG28" s="40"/>
      <c r="EH28" s="40"/>
      <c r="EI28" s="40"/>
      <c r="EJ28" s="40"/>
      <c r="EK28" s="40"/>
      <c r="EL28" s="40"/>
      <c r="EM28" s="40"/>
      <c r="EN28" s="40"/>
      <c r="EO28" s="40"/>
      <c r="EP28" s="40"/>
      <c r="EQ28" s="40"/>
      <c r="ER28" s="40"/>
      <c r="ES28" s="40"/>
      <c r="ET28" s="40"/>
      <c r="EU28" s="40"/>
      <c r="EV28" s="40"/>
      <c r="EW28" s="40"/>
      <c r="EX28" s="40"/>
      <c r="EY28" s="40"/>
      <c r="EZ28" s="40"/>
      <c r="FA28" s="40"/>
      <c r="FB28" s="40"/>
      <c r="FC28" s="40"/>
      <c r="FD28" s="40"/>
      <c r="FE28" s="40"/>
      <c r="FF28" s="40"/>
      <c r="FG28" s="40"/>
      <c r="FH28" s="40"/>
      <c r="FI28" s="40"/>
      <c r="FJ28" s="40"/>
      <c r="FK28" s="40"/>
      <c r="FL28" s="40"/>
      <c r="FM28" s="40"/>
      <c r="FN28" s="40"/>
      <c r="FO28" s="40"/>
    </row>
    <row r="29" spans="2:171" s="34" customFormat="1" ht="15" customHeight="1">
      <c r="B29" s="37" t="s">
        <v>158</v>
      </c>
      <c r="C29" s="34">
        <f>(11+3/60+43/3600)</f>
        <v>11.061944444444444</v>
      </c>
      <c r="D29" s="34">
        <f>61+44.8/60</f>
        <v>61.74666666666667</v>
      </c>
      <c r="E29" s="38">
        <f>MOD(360-(C29+((3.075+1.336*SIN(RADIANS(C29))*TAN(RADIANS(D29)))*(OBSERVATIONS!$U$35-36526)/365)/3600)*15,360)</f>
        <v>193.72021499076325</v>
      </c>
      <c r="F29" s="38">
        <f>D29+(20.04*COS(RADIANS(C29*15))*(OBSERVATIONS!$U$35-36526)/365)/3600</f>
        <v>61.618746884603944</v>
      </c>
      <c r="G29" s="38">
        <f>-17.3*SIN(RADIANS(125-0.05295*(OBSERVATIONS!$U$35-2451545)))-1.4*SIN(RADIANS(200+1.97129*(OBSERVATIONS!$U$35-2451545)))</f>
        <v>-15.507213434549312</v>
      </c>
      <c r="H29" s="38">
        <f>9.4*COS(RADIANS(125-0.05295*(OBSERVATIONS!$U$35-2451545)))+0.7*COS(RADIANS(200+1.97129*(OBSERVATIONS!$U$35-2451545)))</f>
        <v>-2.1041300782981658</v>
      </c>
      <c r="I29" s="41">
        <f t="shared" si="228"/>
        <v>193.72075093255054</v>
      </c>
      <c r="J29" s="41">
        <f t="shared" si="229"/>
        <v>61.620296873876576</v>
      </c>
      <c r="L29" s="39"/>
      <c r="N29" s="40"/>
      <c r="O29" s="42" t="s">
        <v>153</v>
      </c>
      <c r="P29" s="40">
        <v>0</v>
      </c>
      <c r="Q29" s="40"/>
      <c r="R29" s="40"/>
      <c r="S29" s="40"/>
      <c r="T29" s="40"/>
      <c r="U29" s="40"/>
      <c r="V29" s="40"/>
      <c r="W29" s="40"/>
      <c r="X29" s="40"/>
      <c r="Y29" s="40">
        <f>MOD(V$4+OBSERVATIONS!$AO$13+I24,360)</f>
        <v>255.87441714184286</v>
      </c>
      <c r="Z29" s="40">
        <f t="shared" si="238"/>
        <v>104.12558285815714</v>
      </c>
      <c r="AA29" s="40">
        <f t="shared" si="247"/>
        <v>-52.711994814126669</v>
      </c>
      <c r="AB29" s="40">
        <f t="shared" si="239"/>
        <v>1</v>
      </c>
      <c r="AC29" s="40">
        <f>ABS(TAN(RADIANS(ABS(OBSERVATIONS!$AO$12)))/TAN(RADIANS(ABS(Z29))))</f>
        <v>0.36716961339223098</v>
      </c>
      <c r="AD29" s="40">
        <f>IF(AB29=0,IF(OBSERVATIONS!$AY$35="N",-AC29,AC29),IF(OBSERVATIONS!$AY$35="N",AC29,-AC29))</f>
        <v>0.36716961339223098</v>
      </c>
      <c r="AE29" s="40">
        <f t="shared" si="240"/>
        <v>-1.3542047774929753</v>
      </c>
      <c r="AF29" s="40">
        <f t="shared" si="241"/>
        <v>-0.98703516410074432</v>
      </c>
      <c r="AG29" s="40">
        <f>ABS(DEGREES(ATAN(1/(COS(RADIANS(ABS(OBSERVATIONS!$AO$12)))*AF29))))</f>
        <v>60.83755281214205</v>
      </c>
      <c r="AH29" s="40">
        <f t="shared" si="242"/>
        <v>119.16244718785795</v>
      </c>
      <c r="AI29" s="40">
        <f>AA29-OBSERVATIONS!$AO$12</f>
        <v>-108.28532814746001</v>
      </c>
      <c r="AJ29" s="44">
        <f>DEGREES(ASIN(SIN(RADIANS(OBSERVATIONS!$AO$12))*SIN(RADIANS(AA29))+COS(RADIANS(OBSERVATIONS!$AO$12))*COS(RADIANS(AA29))*COS(RADIANS(Y29))))</f>
        <v>-47.71763719395819</v>
      </c>
      <c r="AK29" s="44">
        <f t="shared" si="243"/>
        <v>-47.71763719395819</v>
      </c>
      <c r="AL29" s="37" t="s">
        <v>153</v>
      </c>
      <c r="AM29" s="44">
        <f t="shared" si="244"/>
        <v>119.16244718785795</v>
      </c>
      <c r="AN29" s="44">
        <f t="shared" si="245"/>
        <v>-47.71763719395819</v>
      </c>
      <c r="AO29" s="44"/>
      <c r="AP29" s="44"/>
      <c r="AQ29" s="44"/>
      <c r="AR29" s="44"/>
      <c r="AS29" s="40"/>
      <c r="AT29" s="44"/>
      <c r="AU29" s="40"/>
      <c r="AV29" s="44"/>
      <c r="AW29" s="40"/>
      <c r="AX29" s="44"/>
      <c r="AY29" s="40"/>
      <c r="AZ29" s="40"/>
      <c r="BA29" s="40"/>
      <c r="BB29" s="40"/>
      <c r="BC29" s="40"/>
      <c r="BD29" s="41"/>
      <c r="BF29" s="41"/>
      <c r="BH29" s="41"/>
      <c r="BI29" s="41"/>
      <c r="BJ29" s="41"/>
      <c r="BK29" s="41"/>
      <c r="BL29" s="41"/>
      <c r="BN29" s="41"/>
      <c r="BO29" s="41"/>
      <c r="BP29" s="41"/>
      <c r="BQ29" s="41"/>
      <c r="BX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L29" s="41"/>
      <c r="CM29" s="41"/>
      <c r="CN29" s="41"/>
      <c r="CO29" s="41"/>
      <c r="CP29" s="41"/>
      <c r="CR29" s="41"/>
      <c r="CS29" s="41"/>
      <c r="CT29" s="41"/>
      <c r="CU29" s="41"/>
      <c r="CV29" s="41"/>
      <c r="CW29" s="40"/>
      <c r="CX29" s="40"/>
      <c r="CY29" s="44"/>
      <c r="CZ29" s="40"/>
      <c r="DA29" s="40"/>
      <c r="DB29" s="40"/>
      <c r="DC29" s="40"/>
      <c r="DD29" s="40"/>
      <c r="DE29" s="40"/>
      <c r="DF29" s="40"/>
      <c r="DG29" s="40"/>
      <c r="DH29" s="40"/>
      <c r="DI29" s="40"/>
      <c r="DJ29" s="40"/>
      <c r="DK29" s="40"/>
      <c r="DL29" s="40"/>
      <c r="DM29" s="40"/>
      <c r="DN29" s="40"/>
      <c r="DO29" s="40"/>
      <c r="DP29" s="40"/>
      <c r="DQ29" s="47"/>
      <c r="DR29" s="47"/>
      <c r="DS29" s="47"/>
      <c r="DT29" s="47"/>
      <c r="DU29" s="47"/>
      <c r="DV29" s="47"/>
      <c r="DW29" s="47"/>
      <c r="DX29" s="47"/>
      <c r="DY29" s="47"/>
      <c r="DZ29" s="47"/>
      <c r="EA29" s="47"/>
      <c r="EB29" s="40"/>
      <c r="EC29" s="40"/>
      <c r="ED29" s="40"/>
      <c r="EE29" s="40"/>
      <c r="EF29" s="40"/>
      <c r="EG29" s="40"/>
      <c r="EH29" s="40"/>
      <c r="EI29" s="40"/>
      <c r="EJ29" s="40"/>
      <c r="EK29" s="40"/>
      <c r="EL29" s="40"/>
      <c r="EM29" s="40"/>
      <c r="EN29" s="40"/>
      <c r="EO29" s="40"/>
      <c r="EP29" s="40"/>
      <c r="EQ29" s="40"/>
      <c r="ER29" s="40"/>
      <c r="ES29" s="40"/>
      <c r="ET29" s="40"/>
      <c r="EU29" s="40"/>
      <c r="EV29" s="40"/>
      <c r="EW29" s="40"/>
      <c r="EX29" s="40"/>
      <c r="EY29" s="40"/>
      <c r="EZ29" s="40"/>
      <c r="FA29" s="40"/>
      <c r="FB29" s="40"/>
      <c r="FC29" s="40"/>
      <c r="FD29" s="40"/>
      <c r="FE29" s="40"/>
      <c r="FF29" s="40"/>
      <c r="FG29" s="40"/>
      <c r="FH29" s="40"/>
      <c r="FI29" s="40"/>
      <c r="FJ29" s="40"/>
      <c r="FK29" s="40"/>
      <c r="FL29" s="40"/>
      <c r="FM29" s="40"/>
      <c r="FN29" s="40"/>
      <c r="FO29" s="40"/>
    </row>
    <row r="30" spans="2:171" s="34" customFormat="1" ht="15" customHeight="1">
      <c r="B30" s="37" t="s">
        <v>159</v>
      </c>
      <c r="C30" s="34">
        <f>(5+26/60+18/3600)</f>
        <v>5.4383333333333335</v>
      </c>
      <c r="D30" s="34">
        <f>28+36.4/60</f>
        <v>28.606666666666666</v>
      </c>
      <c r="E30" s="38">
        <f>MOD(360-(C30+((3.075+1.336*SIN(RADIANS(C30))*TAN(RADIANS(D30)))*(OBSERVATIONS!$U$35-36526)/365)/3600)*15,360)</f>
        <v>278.1146503068764</v>
      </c>
      <c r="F30" s="38">
        <f>D30+(20.04*COS(RADIANS(C30*15))*(OBSERVATIONS!$U$35-36526)/365)/3600</f>
        <v>28.625988525763223</v>
      </c>
      <c r="G30" s="38">
        <f>-17.3*SIN(RADIANS(125-0.05295*(OBSERVATIONS!$U$35-2451545)))-1.4*SIN(RADIANS(200+1.97129*(OBSERVATIONS!$U$35-2451545)))</f>
        <v>-15.507213434549312</v>
      </c>
      <c r="H30" s="38">
        <f>9.4*COS(RADIANS(125-0.05295*(OBSERVATIONS!$U$35-2451545)))+0.7*COS(RADIANS(200+1.97129*(OBSERVATIONS!$U$35-2451545)))</f>
        <v>-2.1041300782981658</v>
      </c>
      <c r="I30" s="41">
        <f t="shared" si="228"/>
        <v>278.11375107603959</v>
      </c>
      <c r="J30" s="41">
        <f t="shared" si="229"/>
        <v>28.625682072208175</v>
      </c>
      <c r="L30" s="39"/>
      <c r="N30" s="40"/>
      <c r="O30" s="42" t="s">
        <v>154</v>
      </c>
      <c r="P30" s="40">
        <v>0</v>
      </c>
      <c r="Q30" s="40"/>
      <c r="R30" s="40"/>
      <c r="S30" s="40"/>
      <c r="T30" s="40"/>
      <c r="U30" s="40"/>
      <c r="V30" s="40"/>
      <c r="W30" s="40"/>
      <c r="X30" s="40"/>
      <c r="Y30" s="40">
        <f>MOD(V$4+OBSERVATIONS!$AO$13+I25,360)</f>
        <v>272.66034411562509</v>
      </c>
      <c r="Z30" s="40">
        <f t="shared" si="238"/>
        <v>87.339655884374906</v>
      </c>
      <c r="AA30" s="40">
        <f t="shared" si="247"/>
        <v>46.022725478551088</v>
      </c>
      <c r="AB30" s="40">
        <f t="shared" si="239"/>
        <v>0</v>
      </c>
      <c r="AC30" s="40">
        <f>ABS(TAN(RADIANS(ABS(OBSERVATIONS!$AO$12)))/TAN(RADIANS(ABS(Z30))))</f>
        <v>6.7792948448577028E-2</v>
      </c>
      <c r="AD30" s="40">
        <f>IF(AB30=0,IF(OBSERVATIONS!$AY$35="N",-AC30,AC30),IF(OBSERVATIONS!$AY$35="N",AC30,-AC30))</f>
        <v>-6.7792948448577028E-2</v>
      </c>
      <c r="AE30" s="40">
        <f t="shared" si="240"/>
        <v>1.0374707514344494</v>
      </c>
      <c r="AF30" s="40">
        <f t="shared" si="241"/>
        <v>0.96967780298587236</v>
      </c>
      <c r="AG30" s="40">
        <f>ABS(DEGREES(ATAN(1/(COS(RADIANS(ABS(OBSERVATIONS!$AO$12)))*AF30))))</f>
        <v>61.268081822403339</v>
      </c>
      <c r="AH30" s="40">
        <f t="shared" si="242"/>
        <v>61.268081822403339</v>
      </c>
      <c r="AI30" s="40">
        <f>AA30-OBSERVATIONS!$AO$12</f>
        <v>-9.5506078547822426</v>
      </c>
      <c r="AJ30" s="44">
        <f>DEGREES(ASIN(SIN(RADIANS(OBSERVATIONS!$AO$12))*SIN(RADIANS(AA30))+COS(RADIANS(OBSERVATIONS!$AO$12))*COS(RADIANS(AA30))*COS(RADIANS(Y30))))</f>
        <v>37.719471655334367</v>
      </c>
      <c r="AK30" s="44">
        <f t="shared" si="243"/>
        <v>37.719471655334367</v>
      </c>
      <c r="AL30" s="37" t="s">
        <v>154</v>
      </c>
      <c r="AM30" s="44">
        <f t="shared" si="244"/>
        <v>61.268081822403339</v>
      </c>
      <c r="AN30" s="44">
        <f t="shared" si="245"/>
        <v>37.719471655334367</v>
      </c>
      <c r="AO30" s="44"/>
      <c r="AP30" s="44"/>
      <c r="AQ30" s="44"/>
      <c r="AR30" s="44"/>
      <c r="AS30" s="40"/>
      <c r="AT30" s="44"/>
      <c r="AU30" s="40"/>
      <c r="AV30" s="44"/>
      <c r="AW30" s="40"/>
      <c r="AX30" s="44"/>
      <c r="AY30" s="40"/>
      <c r="AZ30" s="40"/>
      <c r="BA30" s="40"/>
      <c r="BB30" s="40"/>
      <c r="BC30" s="40"/>
      <c r="BD30" s="41"/>
      <c r="BF30" s="41"/>
      <c r="BH30" s="41"/>
      <c r="BI30" s="41"/>
      <c r="BJ30" s="41"/>
      <c r="BK30" s="41"/>
      <c r="BL30" s="41"/>
      <c r="BN30" s="41"/>
      <c r="BO30" s="41"/>
      <c r="BP30" s="41"/>
      <c r="BQ30" s="41"/>
      <c r="BX30" s="41"/>
      <c r="BZ30" s="41"/>
      <c r="CA30" s="41"/>
      <c r="CB30" s="41"/>
      <c r="CC30" s="41"/>
      <c r="CD30" s="41"/>
      <c r="CE30" s="41"/>
      <c r="CF30" s="41"/>
      <c r="CG30" s="41"/>
      <c r="CH30" s="41"/>
      <c r="CI30" s="41"/>
      <c r="CJ30" s="41"/>
      <c r="CL30" s="41"/>
      <c r="CM30" s="41"/>
      <c r="CN30" s="41"/>
      <c r="CO30" s="41"/>
      <c r="CP30" s="41"/>
      <c r="CR30" s="41"/>
      <c r="CS30" s="41"/>
      <c r="CT30" s="41"/>
      <c r="CU30" s="41"/>
      <c r="CV30" s="41"/>
      <c r="CW30" s="40"/>
      <c r="CX30" s="40"/>
      <c r="CY30" s="44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7"/>
      <c r="DR30" s="47"/>
      <c r="DS30" s="47"/>
      <c r="DT30" s="47"/>
      <c r="DU30" s="47"/>
      <c r="DV30" s="47"/>
      <c r="DW30" s="47"/>
      <c r="DX30" s="47"/>
      <c r="DY30" s="47"/>
      <c r="DZ30" s="47"/>
      <c r="EA30" s="47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</row>
    <row r="31" spans="2:171" s="34" customFormat="1" ht="15" customHeight="1">
      <c r="B31" s="37" t="s">
        <v>160</v>
      </c>
      <c r="C31" s="34">
        <f>(17+56/60+34/3600)</f>
        <v>17.942777777777778</v>
      </c>
      <c r="D31" s="34">
        <f>51+29.3/60</f>
        <v>51.488333333333337</v>
      </c>
      <c r="E31" s="38">
        <f>MOD(360-(C31+((3.075+1.336*SIN(RADIANS(C31))*TAN(RADIANS(D31)))*(OBSERVATIONS!$U$35-36526)/365)/3600)*15,360)</f>
        <v>90.503746352148255</v>
      </c>
      <c r="F31" s="38">
        <f>D31+(20.04*COS(RADIANS(C31*15))*(OBSERVATIONS!$U$35-36526)/365)/3600</f>
        <v>51.48635779749425</v>
      </c>
      <c r="G31" s="38">
        <f>-17.3*SIN(RADIANS(125-0.05295*(OBSERVATIONS!$U$35-2451545)))-1.4*SIN(RADIANS(200+1.97129*(OBSERVATIONS!$U$35-2451545)))</f>
        <v>-15.507213434549312</v>
      </c>
      <c r="H31" s="38">
        <f>9.4*COS(RADIANS(125-0.05295*(OBSERVATIONS!$U$35-2451545)))+0.7*COS(RADIANS(200+1.97129*(OBSERVATIONS!$U$35-2451545)))</f>
        <v>-2.1041300782981658</v>
      </c>
      <c r="I31" s="41">
        <f t="shared" si="228"/>
        <v>90.504626120661953</v>
      </c>
      <c r="J31" s="41">
        <f t="shared" si="229"/>
        <v>51.486203407561291</v>
      </c>
      <c r="L31" s="39"/>
      <c r="N31" s="40"/>
      <c r="O31" s="42" t="s">
        <v>155</v>
      </c>
      <c r="P31" s="40">
        <v>0</v>
      </c>
      <c r="Q31" s="40"/>
      <c r="R31" s="40"/>
      <c r="S31" s="40"/>
      <c r="T31" s="40"/>
      <c r="U31" s="40"/>
      <c r="V31" s="40"/>
      <c r="W31" s="40"/>
      <c r="X31" s="40"/>
      <c r="Y31" s="40">
        <f>MOD(V$4+OBSERVATIONS!$AO$13+I26,360)</f>
        <v>41.454062367052018</v>
      </c>
      <c r="Z31" s="40">
        <f t="shared" si="238"/>
        <v>41.454062367052018</v>
      </c>
      <c r="AA31" s="40">
        <f t="shared" si="247"/>
        <v>45.365734907240316</v>
      </c>
      <c r="AB31" s="40">
        <f t="shared" si="239"/>
        <v>0</v>
      </c>
      <c r="AC31" s="40">
        <f>ABS(TAN(RADIANS(ABS(OBSERVATIONS!$AO$12)))/TAN(RADIANS(ABS(Z31))))</f>
        <v>1.6517729675205131</v>
      </c>
      <c r="AD31" s="40">
        <f>IF(AB31=0,IF(OBSERVATIONS!$AY$35="N",-AC31,AC31),IF(OBSERVATIONS!$AY$35="N",AC31,-AC31))</f>
        <v>-1.6517729675205131</v>
      </c>
      <c r="AE31" s="40">
        <f t="shared" si="240"/>
        <v>1.5299382831308894</v>
      </c>
      <c r="AF31" s="40">
        <f t="shared" si="241"/>
        <v>-0.12183468438962364</v>
      </c>
      <c r="AG31" s="40">
        <f>ABS(DEGREES(ATAN(1/(COS(RADIANS(ABS(OBSERVATIONS!$AO$12)))*AF31))))</f>
        <v>86.059727067138056</v>
      </c>
      <c r="AH31" s="40">
        <f t="shared" si="242"/>
        <v>266.05972706713806</v>
      </c>
      <c r="AI31" s="40">
        <f>AA31-OBSERVATIONS!$AO$12</f>
        <v>-10.207598426093014</v>
      </c>
      <c r="AJ31" s="44">
        <f>DEGREES(ASIN(SIN(RADIANS(OBSERVATIONS!$AO$12))*SIN(RADIANS(AA31))+COS(RADIANS(OBSERVATIONS!$AO$12))*COS(RADIANS(AA31))*COS(RADIANS(Y31))))</f>
        <v>62.210613558199995</v>
      </c>
      <c r="AK31" s="44">
        <f t="shared" si="243"/>
        <v>62.210613558199995</v>
      </c>
      <c r="AL31" s="37" t="s">
        <v>155</v>
      </c>
      <c r="AM31" s="44">
        <f t="shared" si="244"/>
        <v>266.05972706713806</v>
      </c>
      <c r="AN31" s="44">
        <f t="shared" si="245"/>
        <v>62.210613558199995</v>
      </c>
      <c r="AO31" s="44"/>
      <c r="AP31" s="44"/>
      <c r="AQ31" s="44"/>
      <c r="AR31" s="44"/>
      <c r="AS31" s="40"/>
      <c r="AT31" s="44"/>
      <c r="AU31" s="40"/>
      <c r="AV31" s="44"/>
      <c r="AW31" s="40"/>
      <c r="AX31" s="44"/>
      <c r="AY31" s="40"/>
      <c r="AZ31" s="40"/>
      <c r="BA31" s="40"/>
      <c r="BB31" s="40"/>
      <c r="BC31" s="40"/>
      <c r="BD31" s="41"/>
      <c r="BF31" s="41"/>
      <c r="BH31" s="41"/>
      <c r="BI31" s="41"/>
      <c r="BJ31" s="41"/>
      <c r="BK31" s="41"/>
      <c r="BL31" s="41"/>
      <c r="BN31" s="41"/>
      <c r="BO31" s="41"/>
      <c r="BP31" s="41"/>
      <c r="BQ31" s="41"/>
      <c r="BX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L31" s="41"/>
      <c r="CM31" s="41"/>
      <c r="CN31" s="41"/>
      <c r="CO31" s="41"/>
      <c r="CP31" s="41"/>
      <c r="CR31" s="41"/>
      <c r="CS31" s="41"/>
      <c r="CT31" s="41"/>
      <c r="CU31" s="41"/>
      <c r="CV31" s="41"/>
      <c r="CW31" s="40"/>
      <c r="CX31" s="40"/>
      <c r="CY31" s="44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7"/>
      <c r="DR31" s="47"/>
      <c r="DS31" s="47"/>
      <c r="DT31" s="47"/>
      <c r="DU31" s="47"/>
      <c r="DV31" s="47"/>
      <c r="DW31" s="47"/>
      <c r="DX31" s="47"/>
      <c r="DY31" s="47"/>
      <c r="DZ31" s="47"/>
      <c r="EA31" s="47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</row>
    <row r="32" spans="2:171" s="34" customFormat="1" ht="15" customHeight="1">
      <c r="B32" s="37" t="s">
        <v>161</v>
      </c>
      <c r="C32" s="34">
        <f>(21+44/60+10/3600)</f>
        <v>21.736111111111111</v>
      </c>
      <c r="D32" s="34">
        <f>9+52.5/60</f>
        <v>9.875</v>
      </c>
      <c r="E32" s="38">
        <f>MOD(360-(C32+((3.075+1.336*SIN(RADIANS(C32))*TAN(RADIANS(D32)))*(OBSERVATIONS!$U$35-36526)/365)/3600)*15,360)</f>
        <v>33.64629827498527</v>
      </c>
      <c r="F32" s="38">
        <f>D32+(20.04*COS(RADIANS(C32*15))*(OBSERVATIONS!$U$35-36526)/365)/3600</f>
        <v>9.9843842733322941</v>
      </c>
      <c r="G32" s="38">
        <f>-17.3*SIN(RADIANS(125-0.05295*(OBSERVATIONS!$U$35-2451545)))-1.4*SIN(RADIANS(200+1.97129*(OBSERVATIONS!$U$35-2451545)))</f>
        <v>-15.507213434549312</v>
      </c>
      <c r="H32" s="38">
        <f>9.4*COS(RADIANS(125-0.05295*(OBSERVATIONS!$U$35-2451545)))+0.7*COS(RADIANS(200+1.97129*(OBSERVATIONS!$U$35-2451545)))</f>
        <v>-2.1041300782981658</v>
      </c>
      <c r="I32" s="41">
        <f t="shared" si="228"/>
        <v>33.645204401097146</v>
      </c>
      <c r="J32" s="41">
        <f t="shared" si="229"/>
        <v>9.9827465299444746</v>
      </c>
      <c r="L32" s="39"/>
      <c r="N32" s="40"/>
      <c r="O32" s="42" t="s">
        <v>156</v>
      </c>
      <c r="P32" s="40">
        <v>0</v>
      </c>
      <c r="Q32" s="40"/>
      <c r="R32" s="40"/>
      <c r="S32" s="40"/>
      <c r="T32" s="40"/>
      <c r="U32" s="40"/>
      <c r="V32" s="40"/>
      <c r="W32" s="40"/>
      <c r="X32" s="40"/>
      <c r="Y32" s="40">
        <f>MOD(V$4+OBSERVATIONS!$AO$13+I27,360)</f>
        <v>174.57858267723861</v>
      </c>
      <c r="Z32" s="40">
        <f t="shared" si="238"/>
        <v>174.57858267723861</v>
      </c>
      <c r="AA32" s="40">
        <f t="shared" si="247"/>
        <v>14.441532432240654</v>
      </c>
      <c r="AB32" s="40">
        <f t="shared" si="239"/>
        <v>1</v>
      </c>
      <c r="AC32" s="40">
        <f>ABS(TAN(RADIANS(ABS(OBSERVATIONS!$AO$12)))/TAN(RADIANS(ABS(Z32))))</f>
        <v>15.373333403341029</v>
      </c>
      <c r="AD32" s="40">
        <f>IF(AB32=0,IF(OBSERVATIONS!$AY$35="N",-AC32,AC32),IF(OBSERVATIONS!$AY$35="N",AC32,-AC32))</f>
        <v>15.373333403341029</v>
      </c>
      <c r="AE32" s="40">
        <f t="shared" si="240"/>
        <v>2.7257402684375838</v>
      </c>
      <c r="AF32" s="40">
        <f t="shared" si="241"/>
        <v>18.099073671778612</v>
      </c>
      <c r="AG32" s="40">
        <f>ABS(DEGREES(ATAN(1/(COS(RADIANS(ABS(OBSERVATIONS!$AO$12)))*AF32))))</f>
        <v>5.581760246776879</v>
      </c>
      <c r="AH32" s="40">
        <f t="shared" si="242"/>
        <v>354.41823975322313</v>
      </c>
      <c r="AI32" s="40">
        <f>AA32-OBSERVATIONS!$AO$12</f>
        <v>-41.131800901092674</v>
      </c>
      <c r="AJ32" s="44">
        <f>DEGREES(ASIN(SIN(RADIANS(OBSERVATIONS!$AO$12))*SIN(RADIANS(AA32))+COS(RADIANS(OBSERVATIONS!$AO$12))*COS(RADIANS(AA32))*COS(RADIANS(Y32))))</f>
        <v>-19.835892211879923</v>
      </c>
      <c r="AK32" s="44">
        <f t="shared" si="243"/>
        <v>-19.835892211879923</v>
      </c>
      <c r="AL32" s="37" t="s">
        <v>156</v>
      </c>
      <c r="AM32" s="44">
        <f t="shared" si="244"/>
        <v>354.41823975322313</v>
      </c>
      <c r="AN32" s="44">
        <f t="shared" si="245"/>
        <v>-19.835892211879923</v>
      </c>
      <c r="AO32" s="44"/>
      <c r="AP32" s="44"/>
      <c r="AQ32" s="44"/>
      <c r="AR32" s="44"/>
      <c r="AS32" s="40"/>
      <c r="AT32" s="44"/>
      <c r="AU32" s="40"/>
      <c r="AV32" s="44"/>
      <c r="AW32" s="40"/>
      <c r="AX32" s="44"/>
      <c r="AY32" s="40"/>
      <c r="AZ32" s="40"/>
      <c r="BA32" s="40"/>
      <c r="BB32" s="40"/>
      <c r="BC32" s="40"/>
      <c r="BD32" s="41"/>
      <c r="BF32" s="41"/>
      <c r="BH32" s="41"/>
      <c r="BI32" s="41"/>
      <c r="BJ32" s="41"/>
      <c r="BK32" s="41"/>
      <c r="BL32" s="41"/>
      <c r="BN32" s="41"/>
      <c r="BO32" s="41"/>
      <c r="BP32" s="41"/>
      <c r="BQ32" s="41"/>
      <c r="BX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L32" s="41"/>
      <c r="CM32" s="41"/>
      <c r="CN32" s="41"/>
      <c r="CO32" s="41"/>
      <c r="CP32" s="41"/>
      <c r="CR32" s="41"/>
      <c r="CS32" s="41"/>
      <c r="CT32" s="41"/>
      <c r="CU32" s="41"/>
      <c r="CV32" s="41"/>
      <c r="CW32" s="40"/>
      <c r="CX32" s="40"/>
      <c r="CY32" s="44"/>
      <c r="CZ32" s="40"/>
      <c r="DA32" s="40"/>
      <c r="DB32" s="40"/>
      <c r="DC32" s="40"/>
      <c r="DD32" s="40"/>
      <c r="DE32" s="40"/>
      <c r="DF32" s="40"/>
      <c r="DG32" s="40"/>
      <c r="DH32" s="40"/>
      <c r="DI32" s="40"/>
      <c r="DJ32" s="40"/>
      <c r="DK32" s="40"/>
      <c r="DL32" s="40"/>
      <c r="DM32" s="40"/>
      <c r="DN32" s="40"/>
      <c r="DO32" s="40"/>
      <c r="DP32" s="40"/>
      <c r="DQ32" s="47"/>
      <c r="DR32" s="47"/>
      <c r="DS32" s="47"/>
      <c r="DT32" s="47"/>
      <c r="DU32" s="47"/>
      <c r="DV32" s="47"/>
      <c r="DW32" s="47"/>
      <c r="DX32" s="47"/>
      <c r="DY32" s="47"/>
      <c r="DZ32" s="47"/>
      <c r="EA32" s="47"/>
      <c r="EB32" s="40"/>
      <c r="EC32" s="40"/>
      <c r="ED32" s="40"/>
      <c r="EE32" s="40"/>
      <c r="EF32" s="40"/>
      <c r="EG32" s="40"/>
      <c r="EH32" s="40"/>
      <c r="EI32" s="40"/>
      <c r="EJ32" s="40"/>
      <c r="EK32" s="40"/>
      <c r="EL32" s="40"/>
      <c r="EM32" s="40"/>
      <c r="EN32" s="40"/>
      <c r="EO32" s="40"/>
      <c r="EP32" s="40"/>
      <c r="EQ32" s="40"/>
      <c r="ER32" s="40"/>
      <c r="ES32" s="40"/>
      <c r="ET32" s="40"/>
      <c r="EU32" s="40"/>
      <c r="EV32" s="40"/>
      <c r="EW32" s="40"/>
      <c r="EX32" s="40"/>
      <c r="EY32" s="40"/>
      <c r="EZ32" s="40"/>
      <c r="FA32" s="40"/>
      <c r="FB32" s="40"/>
      <c r="FC32" s="40"/>
      <c r="FD32" s="40"/>
      <c r="FE32" s="40"/>
      <c r="FF32" s="40"/>
      <c r="FG32" s="40"/>
      <c r="FH32" s="40"/>
      <c r="FI32" s="40"/>
      <c r="FJ32" s="40"/>
      <c r="FK32" s="40"/>
      <c r="FL32" s="40"/>
      <c r="FM32" s="40"/>
      <c r="FN32" s="40"/>
      <c r="FO32" s="40"/>
    </row>
    <row r="33" spans="2:171" s="34" customFormat="1" ht="15" customHeight="1">
      <c r="B33" s="37" t="s">
        <v>162</v>
      </c>
      <c r="C33" s="34">
        <f>(22+57/60+37/3600)</f>
        <v>22.960277777777776</v>
      </c>
      <c r="D33" s="34">
        <f>-29-37.6/60</f>
        <v>-29.626666666666665</v>
      </c>
      <c r="E33" s="38">
        <f>MOD(360-(C33+((3.075+1.336*SIN(RADIANS(C33))*TAN(RADIANS(D33)))*(OBSERVATIONS!$U$35-36526)/365)/3600)*15,360)</f>
        <v>15.321555953842221</v>
      </c>
      <c r="F33" s="38">
        <f>D33+(20.04*COS(RADIANS(C33*15))*(OBSERVATIONS!$U$35-36526)/365)/3600</f>
        <v>-29.499645463183064</v>
      </c>
      <c r="G33" s="38">
        <f>-17.3*SIN(RADIANS(125-0.05295*(OBSERVATIONS!$U$35-2451545)))-1.4*SIN(RADIANS(200+1.97129*(OBSERVATIONS!$U$35-2451545)))</f>
        <v>-15.507213434549312</v>
      </c>
      <c r="H33" s="38">
        <f>9.4*COS(RADIANS(125-0.05295*(OBSERVATIONS!$U$35-2451545)))+0.7*COS(RADIANS(200+1.97129*(OBSERVATIONS!$U$35-2451545)))</f>
        <v>-2.1041300782981658</v>
      </c>
      <c r="I33" s="41">
        <f t="shared" si="228"/>
        <v>15.32102234523631</v>
      </c>
      <c r="J33" s="41">
        <f t="shared" si="229"/>
        <v>-29.501523922799976</v>
      </c>
      <c r="L33" s="39"/>
      <c r="N33" s="40"/>
      <c r="O33" s="42" t="s">
        <v>157</v>
      </c>
      <c r="P33" s="40">
        <v>0</v>
      </c>
      <c r="Q33" s="40"/>
      <c r="R33" s="40"/>
      <c r="S33" s="40"/>
      <c r="T33" s="40"/>
      <c r="U33" s="40"/>
      <c r="V33" s="40"/>
      <c r="W33" s="40"/>
      <c r="X33" s="40"/>
      <c r="Y33" s="40">
        <f>MOD(V$4+OBSERVATIONS!$AO$13+I28,360)</f>
        <v>340.95828479141301</v>
      </c>
      <c r="Z33" s="40">
        <f t="shared" si="238"/>
        <v>19.041715208586993</v>
      </c>
      <c r="AA33" s="40">
        <f t="shared" si="247"/>
        <v>-17.862189063934917</v>
      </c>
      <c r="AB33" s="40">
        <f t="shared" si="239"/>
        <v>0</v>
      </c>
      <c r="AC33" s="40">
        <f>ABS(TAN(RADIANS(ABS(OBSERVATIONS!$AO$12)))/TAN(RADIANS(ABS(Z33))))</f>
        <v>4.2272604955467292</v>
      </c>
      <c r="AD33" s="40">
        <f>IF(AB33=0,IF(OBSERVATIONS!$AY$35="N",-AC33,AC33),IF(OBSERVATIONS!$AY$35="N",AC33,-AC33))</f>
        <v>-4.2272604955467292</v>
      </c>
      <c r="AE33" s="40">
        <f t="shared" si="240"/>
        <v>-0.98775844640686183</v>
      </c>
      <c r="AF33" s="40">
        <f t="shared" si="241"/>
        <v>-5.2150189419535913</v>
      </c>
      <c r="AG33" s="40">
        <f>ABS(DEGREES(ATAN(1/(COS(RADIANS(ABS(OBSERVATIONS!$AO$12)))*AF33))))</f>
        <v>18.735737371135155</v>
      </c>
      <c r="AH33" s="40">
        <f t="shared" si="242"/>
        <v>161.26426262886486</v>
      </c>
      <c r="AI33" s="40">
        <f>AA33-OBSERVATIONS!$AO$12</f>
        <v>-73.435522397268244</v>
      </c>
      <c r="AJ33" s="44">
        <f>DEGREES(ASIN(SIN(RADIANS(OBSERVATIONS!$AO$12))*SIN(RADIANS(AA33))+COS(RADIANS(OBSERVATIONS!$AO$12))*COS(RADIANS(AA33))*COS(RADIANS(Y33))))</f>
        <v>14.812107974541842</v>
      </c>
      <c r="AK33" s="44">
        <f t="shared" si="243"/>
        <v>14.812107974541842</v>
      </c>
      <c r="AL33" s="37" t="s">
        <v>157</v>
      </c>
      <c r="AM33" s="44">
        <f t="shared" si="244"/>
        <v>161.26426262886486</v>
      </c>
      <c r="AN33" s="44">
        <f t="shared" si="245"/>
        <v>14.812107974541842</v>
      </c>
      <c r="AO33" s="44"/>
      <c r="AP33" s="44"/>
      <c r="AQ33" s="44"/>
      <c r="AR33" s="44"/>
      <c r="AS33" s="40"/>
      <c r="AT33" s="44"/>
      <c r="AU33" s="40"/>
      <c r="AV33" s="44"/>
      <c r="AW33" s="40"/>
      <c r="AX33" s="44"/>
      <c r="AY33" s="40"/>
      <c r="AZ33" s="40"/>
      <c r="BA33" s="40"/>
      <c r="BB33" s="40"/>
      <c r="BC33" s="40"/>
      <c r="BD33" s="41"/>
      <c r="BF33" s="41"/>
      <c r="BH33" s="41"/>
      <c r="BI33" s="41"/>
      <c r="BJ33" s="41"/>
      <c r="BK33" s="41"/>
      <c r="BL33" s="41"/>
      <c r="BN33" s="41"/>
      <c r="BO33" s="41"/>
      <c r="BP33" s="41"/>
      <c r="BQ33" s="41"/>
      <c r="BX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L33" s="41"/>
      <c r="CM33" s="41"/>
      <c r="CN33" s="41"/>
      <c r="CO33" s="41"/>
      <c r="CP33" s="41"/>
      <c r="CR33" s="41"/>
      <c r="CS33" s="41"/>
      <c r="CT33" s="41"/>
      <c r="CU33" s="41"/>
      <c r="CV33" s="41"/>
      <c r="CW33" s="40"/>
      <c r="CX33" s="40"/>
      <c r="CY33" s="44"/>
      <c r="CZ33" s="40"/>
      <c r="DA33" s="40"/>
      <c r="DB33" s="40"/>
      <c r="DC33" s="40"/>
      <c r="DD33" s="40"/>
      <c r="DE33" s="40"/>
      <c r="DF33" s="40"/>
      <c r="DG33" s="40"/>
      <c r="DH33" s="40"/>
      <c r="DI33" s="40"/>
      <c r="DJ33" s="40"/>
      <c r="DK33" s="40"/>
      <c r="DL33" s="40"/>
      <c r="DM33" s="40"/>
      <c r="DN33" s="40"/>
      <c r="DO33" s="40"/>
      <c r="DP33" s="40"/>
      <c r="DQ33" s="47"/>
      <c r="DR33" s="47"/>
      <c r="DS33" s="47"/>
      <c r="DT33" s="47"/>
      <c r="DU33" s="47"/>
      <c r="DV33" s="47"/>
      <c r="DW33" s="47"/>
      <c r="DX33" s="47"/>
      <c r="DY33" s="47"/>
      <c r="DZ33" s="47"/>
      <c r="EA33" s="47"/>
      <c r="EB33" s="40"/>
      <c r="EC33" s="40"/>
      <c r="ED33" s="40"/>
      <c r="EE33" s="40"/>
      <c r="EF33" s="40"/>
      <c r="EG33" s="40"/>
      <c r="EH33" s="40"/>
      <c r="EI33" s="40"/>
      <c r="EJ33" s="40"/>
      <c r="EK33" s="40"/>
      <c r="EL33" s="40"/>
      <c r="EM33" s="40"/>
      <c r="EN33" s="40"/>
      <c r="EO33" s="40"/>
      <c r="EP33" s="40"/>
      <c r="EQ33" s="40"/>
      <c r="ER33" s="40"/>
      <c r="ES33" s="40"/>
      <c r="ET33" s="40"/>
      <c r="EU33" s="40"/>
      <c r="EV33" s="40"/>
      <c r="EW33" s="40"/>
      <c r="EX33" s="40"/>
      <c r="EY33" s="40"/>
      <c r="EZ33" s="40"/>
      <c r="FA33" s="40"/>
      <c r="FB33" s="40"/>
      <c r="FC33" s="40"/>
      <c r="FD33" s="40"/>
      <c r="FE33" s="40"/>
      <c r="FF33" s="40"/>
      <c r="FG33" s="40"/>
      <c r="FH33" s="40"/>
      <c r="FI33" s="40"/>
      <c r="FJ33" s="40"/>
      <c r="FK33" s="40"/>
      <c r="FL33" s="40"/>
      <c r="FM33" s="40"/>
      <c r="FN33" s="40"/>
      <c r="FO33" s="40"/>
    </row>
    <row r="34" spans="2:171" s="34" customFormat="1" ht="15" customHeight="1">
      <c r="B34" s="37" t="s">
        <v>163</v>
      </c>
      <c r="C34" s="34">
        <f>(12+31/60+10/3600)</f>
        <v>12.519444444444446</v>
      </c>
      <c r="D34" s="34">
        <f>-57-6.4/60</f>
        <v>-57.106666666666669</v>
      </c>
      <c r="E34" s="38">
        <f>MOD(360-(C34+((3.075+1.336*SIN(RADIANS(C34))*TAN(RADIANS(D34)))*(OBSERVATIONS!$U$35-36526)/365)/3600)*15,360)</f>
        <v>171.94900001980582</v>
      </c>
      <c r="F34" s="38">
        <f>D34+(20.04*COS(RADIANS(C34*15))*(OBSERVATIONS!$U$35-36526)/365)/3600</f>
        <v>-57.237325745870216</v>
      </c>
      <c r="G34" s="38">
        <f>-17.3*SIN(RADIANS(125-0.05295*(OBSERVATIONS!$U$35-2451545)))-1.4*SIN(RADIANS(200+1.97129*(OBSERVATIONS!$U$35-2451545)))</f>
        <v>-15.507213434549312</v>
      </c>
      <c r="H34" s="38">
        <f>9.4*COS(RADIANS(125-0.05295*(OBSERVATIONS!$U$35-2451545)))+0.7*COS(RADIANS(200+1.97129*(OBSERVATIONS!$U$35-2451545)))</f>
        <v>-2.1041300782981658</v>
      </c>
      <c r="I34" s="41">
        <f t="shared" si="228"/>
        <v>171.9485437003469</v>
      </c>
      <c r="J34" s="41">
        <f t="shared" si="229"/>
        <v>-57.235754717387223</v>
      </c>
      <c r="L34" s="39"/>
      <c r="N34" s="40"/>
      <c r="O34" s="42" t="s">
        <v>158</v>
      </c>
      <c r="P34" s="40">
        <v>0</v>
      </c>
      <c r="Q34" s="40"/>
      <c r="R34" s="40"/>
      <c r="S34" s="40"/>
      <c r="T34" s="40"/>
      <c r="U34" s="40"/>
      <c r="V34" s="40"/>
      <c r="W34" s="40"/>
      <c r="X34" s="40"/>
      <c r="Y34" s="40">
        <f>MOD(V$4+OBSERVATIONS!$AO$13+I29,360)</f>
        <v>185.87351889533875</v>
      </c>
      <c r="Z34" s="40">
        <f t="shared" si="238"/>
        <v>174.12648110466125</v>
      </c>
      <c r="AA34" s="40">
        <f t="shared" si="247"/>
        <v>61.620296873876576</v>
      </c>
      <c r="AB34" s="40">
        <f t="shared" si="239"/>
        <v>1</v>
      </c>
      <c r="AC34" s="40">
        <f>ABS(TAN(RADIANS(ABS(OBSERVATIONS!$AO$12)))/TAN(RADIANS(ABS(Z34))))</f>
        <v>14.18261467945918</v>
      </c>
      <c r="AD34" s="40">
        <f>IF(AB34=0,IF(OBSERVATIONS!$AY$35="N",-AC34,AC34),IF(OBSERVATIONS!$AY$35="N",AC34,-AC34))</f>
        <v>14.18261467945918</v>
      </c>
      <c r="AE34" s="40">
        <f t="shared" si="240"/>
        <v>18.088320079367552</v>
      </c>
      <c r="AF34" s="40">
        <f t="shared" si="241"/>
        <v>32.270934758826733</v>
      </c>
      <c r="AG34" s="40">
        <f>ABS(DEGREES(ATAN(1/(COS(RADIANS(ABS(OBSERVATIONS!$AO$12)))*AF34))))</f>
        <v>3.1373184117020676</v>
      </c>
      <c r="AH34" s="40">
        <f t="shared" si="242"/>
        <v>3.1373184117020676</v>
      </c>
      <c r="AI34" s="40">
        <f>AA34-OBSERVATIONS!$AO$12</f>
        <v>6.0469635405432456</v>
      </c>
      <c r="AJ34" s="44">
        <f>DEGREES(ASIN(SIN(RADIANS(OBSERVATIONS!$AO$12))*SIN(RADIANS(AA34))+COS(RADIANS(OBSERVATIONS!$AO$12))*COS(RADIANS(AA34))*COS(RADIANS(Y34))))</f>
        <v>27.284539546094354</v>
      </c>
      <c r="AK34" s="44">
        <f t="shared" si="243"/>
        <v>27.284539546094354</v>
      </c>
      <c r="AL34" s="37" t="s">
        <v>158</v>
      </c>
      <c r="AM34" s="44">
        <f t="shared" si="244"/>
        <v>3.1373184117020676</v>
      </c>
      <c r="AN34" s="44">
        <f t="shared" si="245"/>
        <v>27.284539546094354</v>
      </c>
      <c r="AO34" s="44"/>
      <c r="AP34" s="44"/>
      <c r="AQ34" s="44"/>
      <c r="AR34" s="44"/>
      <c r="AS34" s="40"/>
      <c r="AT34" s="44"/>
      <c r="AU34" s="40"/>
      <c r="AV34" s="44"/>
      <c r="AW34" s="40"/>
      <c r="AX34" s="44"/>
      <c r="AY34" s="40"/>
      <c r="AZ34" s="40"/>
      <c r="BA34" s="40"/>
      <c r="BB34" s="40"/>
      <c r="BC34" s="40"/>
      <c r="BD34" s="41"/>
      <c r="BF34" s="41"/>
      <c r="BH34" s="41"/>
      <c r="BI34" s="41"/>
      <c r="BJ34" s="41"/>
      <c r="BK34" s="41"/>
      <c r="BL34" s="41"/>
      <c r="BN34" s="41"/>
      <c r="BO34" s="41"/>
      <c r="BP34" s="41"/>
      <c r="BQ34" s="41"/>
      <c r="BX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L34" s="41"/>
      <c r="CM34" s="41"/>
      <c r="CN34" s="41"/>
      <c r="CO34" s="41"/>
      <c r="CP34" s="41"/>
      <c r="CR34" s="41"/>
      <c r="CS34" s="41"/>
      <c r="CT34" s="41"/>
      <c r="CU34" s="41"/>
      <c r="CV34" s="41"/>
      <c r="CW34" s="40"/>
      <c r="CX34" s="40"/>
      <c r="CY34" s="44"/>
      <c r="CZ34" s="40"/>
      <c r="DA34" s="40"/>
      <c r="DB34" s="40"/>
      <c r="DC34" s="40"/>
      <c r="DD34" s="40"/>
      <c r="DE34" s="40"/>
      <c r="DF34" s="40"/>
      <c r="DG34" s="40"/>
      <c r="DH34" s="40"/>
      <c r="DI34" s="40"/>
      <c r="DJ34" s="40"/>
      <c r="DK34" s="40"/>
      <c r="DL34" s="40"/>
      <c r="DM34" s="40"/>
      <c r="DN34" s="40"/>
      <c r="DO34" s="40"/>
      <c r="DP34" s="40"/>
      <c r="DQ34" s="47"/>
      <c r="DR34" s="47"/>
      <c r="DS34" s="47"/>
      <c r="DT34" s="47"/>
      <c r="DU34" s="47"/>
      <c r="DV34" s="47"/>
      <c r="DW34" s="47"/>
      <c r="DX34" s="47"/>
      <c r="DY34" s="47"/>
      <c r="DZ34" s="47"/>
      <c r="EA34" s="47"/>
      <c r="EB34" s="40"/>
      <c r="EC34" s="40"/>
      <c r="ED34" s="40"/>
      <c r="EE34" s="40"/>
      <c r="EF34" s="40"/>
      <c r="EG34" s="40"/>
      <c r="EH34" s="40"/>
      <c r="EI34" s="40"/>
      <c r="EJ34" s="40"/>
      <c r="EK34" s="40"/>
      <c r="EL34" s="40"/>
      <c r="EM34" s="40"/>
      <c r="EN34" s="40"/>
      <c r="EO34" s="40"/>
      <c r="EP34" s="40"/>
      <c r="EQ34" s="40"/>
      <c r="ER34" s="40"/>
      <c r="ES34" s="40"/>
      <c r="ET34" s="40"/>
      <c r="EU34" s="40"/>
      <c r="EV34" s="40"/>
      <c r="EW34" s="40"/>
      <c r="EX34" s="40"/>
      <c r="EY34" s="40"/>
      <c r="EZ34" s="40"/>
      <c r="FA34" s="40"/>
      <c r="FB34" s="40"/>
      <c r="FC34" s="40"/>
      <c r="FD34" s="40"/>
      <c r="FE34" s="40"/>
      <c r="FF34" s="40"/>
      <c r="FG34" s="40"/>
      <c r="FH34" s="40"/>
      <c r="FI34" s="40"/>
      <c r="FJ34" s="40"/>
      <c r="FK34" s="40"/>
      <c r="FL34" s="40"/>
      <c r="FM34" s="40"/>
      <c r="FN34" s="40"/>
      <c r="FO34" s="40"/>
    </row>
    <row r="35" spans="2:171" s="34" customFormat="1" ht="15" customHeight="1">
      <c r="B35" s="37" t="s">
        <v>164</v>
      </c>
      <c r="C35" s="34">
        <f>(12+15/60+48/3600)</f>
        <v>12.263333333333334</v>
      </c>
      <c r="D35" s="34">
        <f>-17-32.3/60</f>
        <v>-17.538333333333334</v>
      </c>
      <c r="E35" s="38">
        <f>MOD(360-(C35+((3.075+1.336*SIN(RADIANS(C35))*TAN(RADIANS(D35)))*(OBSERVATIONS!$U$35-36526)/365)/3600)*15,360)</f>
        <v>175.75531913537731</v>
      </c>
      <c r="F35" s="38">
        <f>D35+(20.04*COS(RADIANS(C35*15))*(OBSERVATIONS!$U$35-36526)/365)/3600</f>
        <v>-17.669896687281998</v>
      </c>
      <c r="G35" s="38">
        <f>-17.3*SIN(RADIANS(125-0.05295*(OBSERVATIONS!$U$35-2451545)))-1.4*SIN(RADIANS(200+1.97129*(OBSERVATIONS!$U$35-2451545)))</f>
        <v>-15.507213434549312</v>
      </c>
      <c r="H35" s="38">
        <f>9.4*COS(RADIANS(125-0.05295*(OBSERVATIONS!$U$35-2451545)))+0.7*COS(RADIANS(200+1.97129*(OBSERVATIONS!$U$35-2451545)))</f>
        <v>-2.1041300782981658</v>
      </c>
      <c r="I35" s="41">
        <f t="shared" si="228"/>
        <v>175.7572135723926</v>
      </c>
      <c r="J35" s="41">
        <f t="shared" si="229"/>
        <v>-17.668311357295327</v>
      </c>
      <c r="L35" s="39"/>
      <c r="N35" s="40"/>
      <c r="O35" s="42" t="s">
        <v>159</v>
      </c>
      <c r="P35" s="40">
        <v>0</v>
      </c>
      <c r="Q35" s="40"/>
      <c r="R35" s="40"/>
      <c r="S35" s="40"/>
      <c r="T35" s="40"/>
      <c r="U35" s="40"/>
      <c r="V35" s="40"/>
      <c r="W35" s="40"/>
      <c r="X35" s="40"/>
      <c r="Y35" s="40">
        <f>MOD(V$4+OBSERVATIONS!$AO$13+I30,360)</f>
        <v>270.26651903882771</v>
      </c>
      <c r="Z35" s="40">
        <f t="shared" si="238"/>
        <v>89.73348096117229</v>
      </c>
      <c r="AA35" s="40">
        <f t="shared" si="247"/>
        <v>28.625682072208175</v>
      </c>
      <c r="AB35" s="40">
        <f t="shared" si="239"/>
        <v>0</v>
      </c>
      <c r="AC35" s="40">
        <f>ABS(TAN(RADIANS(ABS(OBSERVATIONS!$AO$12)))/TAN(RADIANS(ABS(Z35))))</f>
        <v>6.7868120189737771E-3</v>
      </c>
      <c r="AD35" s="40">
        <f>IF(AB35=0,IF(OBSERVATIONS!$AY$35="N",-AC35,AC35),IF(OBSERVATIONS!$AY$35="N",AC35,-AC35))</f>
        <v>-6.7868120189737771E-3</v>
      </c>
      <c r="AE35" s="40">
        <f t="shared" si="240"/>
        <v>0.54580522713070057</v>
      </c>
      <c r="AF35" s="40">
        <f t="shared" si="241"/>
        <v>0.53901841511172677</v>
      </c>
      <c r="AG35" s="40">
        <f>ABS(DEGREES(ATAN(1/(COS(RADIANS(ABS(OBSERVATIONS!$AO$12)))*AF35))))</f>
        <v>73.052208186957159</v>
      </c>
      <c r="AH35" s="40">
        <f t="shared" si="242"/>
        <v>73.052208186957159</v>
      </c>
      <c r="AI35" s="40">
        <f>AA35-OBSERVATIONS!$AO$12</f>
        <v>-26.947651261125156</v>
      </c>
      <c r="AJ35" s="44">
        <f>DEGREES(ASIN(SIN(RADIANS(OBSERVATIONS!$AO$12))*SIN(RADIANS(AA35))+COS(RADIANS(OBSERVATIONS!$AO$12))*COS(RADIANS(AA35))*COS(RADIANS(Y35))))</f>
        <v>23.4208681863972</v>
      </c>
      <c r="AK35" s="44">
        <f t="shared" si="243"/>
        <v>23.4208681863972</v>
      </c>
      <c r="AL35" s="37" t="s">
        <v>159</v>
      </c>
      <c r="AM35" s="44">
        <f t="shared" si="244"/>
        <v>73.052208186957159</v>
      </c>
      <c r="AN35" s="44">
        <f t="shared" si="245"/>
        <v>23.4208681863972</v>
      </c>
      <c r="AO35" s="44"/>
      <c r="AP35" s="44"/>
      <c r="AQ35" s="44"/>
      <c r="AR35" s="44"/>
      <c r="AS35" s="40"/>
      <c r="AT35" s="44"/>
      <c r="AU35" s="40"/>
      <c r="AV35" s="44"/>
      <c r="AW35" s="40"/>
      <c r="AX35" s="44"/>
      <c r="AY35" s="40"/>
      <c r="AZ35" s="40"/>
      <c r="BA35" s="40"/>
      <c r="BB35" s="40"/>
      <c r="BC35" s="40"/>
      <c r="BD35" s="41"/>
      <c r="BF35" s="41"/>
      <c r="BH35" s="41"/>
      <c r="BI35" s="41"/>
      <c r="BJ35" s="41"/>
      <c r="BK35" s="41"/>
      <c r="BL35" s="41"/>
      <c r="BN35" s="41"/>
      <c r="BO35" s="41"/>
      <c r="BP35" s="41"/>
      <c r="BQ35" s="41"/>
      <c r="BX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L35" s="41"/>
      <c r="CM35" s="41"/>
      <c r="CN35" s="41"/>
      <c r="CO35" s="41"/>
      <c r="CP35" s="41"/>
      <c r="CR35" s="41"/>
      <c r="CS35" s="41"/>
      <c r="CT35" s="41"/>
      <c r="CU35" s="41"/>
      <c r="CV35" s="41"/>
      <c r="CW35" s="40"/>
      <c r="CX35" s="40"/>
      <c r="CY35" s="44"/>
      <c r="CZ35" s="40"/>
      <c r="DA35" s="40"/>
      <c r="DB35" s="40"/>
      <c r="DC35" s="40"/>
      <c r="DD35" s="40"/>
      <c r="DE35" s="40"/>
      <c r="DF35" s="40"/>
      <c r="DG35" s="40"/>
      <c r="DH35" s="40"/>
      <c r="DI35" s="40"/>
      <c r="DJ35" s="40"/>
      <c r="DK35" s="40"/>
      <c r="DL35" s="40"/>
      <c r="DM35" s="40"/>
      <c r="DN35" s="40"/>
      <c r="DO35" s="40"/>
      <c r="DP35" s="40"/>
      <c r="DQ35" s="47"/>
      <c r="DR35" s="47"/>
      <c r="DS35" s="47"/>
      <c r="DT35" s="47"/>
      <c r="DU35" s="47"/>
      <c r="DV35" s="47"/>
      <c r="DW35" s="47"/>
      <c r="DX35" s="47"/>
      <c r="DY35" s="47"/>
      <c r="DZ35" s="47"/>
      <c r="EA35" s="47"/>
      <c r="EB35" s="40"/>
      <c r="EC35" s="40"/>
      <c r="ED35" s="40"/>
      <c r="EE35" s="40"/>
      <c r="EF35" s="40"/>
      <c r="EG35" s="40"/>
      <c r="EH35" s="40"/>
      <c r="EI35" s="40"/>
      <c r="EJ35" s="40"/>
      <c r="EK35" s="40"/>
      <c r="EL35" s="40"/>
      <c r="EM35" s="40"/>
      <c r="EN35" s="40"/>
      <c r="EO35" s="40"/>
      <c r="EP35" s="40"/>
      <c r="EQ35" s="40"/>
      <c r="ER35" s="40"/>
      <c r="ES35" s="40"/>
      <c r="ET35" s="40"/>
      <c r="EU35" s="40"/>
      <c r="EV35" s="40"/>
      <c r="EW35" s="40"/>
      <c r="EX35" s="40"/>
      <c r="EY35" s="40"/>
      <c r="EZ35" s="40"/>
      <c r="FA35" s="40"/>
      <c r="FB35" s="40"/>
      <c r="FC35" s="40"/>
      <c r="FD35" s="40"/>
      <c r="FE35" s="40"/>
      <c r="FF35" s="40"/>
      <c r="FG35" s="40"/>
      <c r="FH35" s="40"/>
      <c r="FI35" s="40"/>
      <c r="FJ35" s="40"/>
      <c r="FK35" s="40"/>
      <c r="FL35" s="40"/>
      <c r="FM35" s="40"/>
      <c r="FN35" s="40"/>
      <c r="FO35" s="40"/>
    </row>
    <row r="36" spans="2:171" s="34" customFormat="1" ht="15" customHeight="1">
      <c r="B36" s="37" t="s">
        <v>165</v>
      </c>
      <c r="C36" s="34">
        <f>(14+3/60+48/3600)</f>
        <v>14.063333333333334</v>
      </c>
      <c r="D36" s="34">
        <f>-60-22/60</f>
        <v>-60.366666666666667</v>
      </c>
      <c r="E36" s="38">
        <f>MOD(360-(C36+((3.075+1.336*SIN(RADIANS(C36))*TAN(RADIANS(D36)))*(OBSERVATIONS!$U$35-36526)/365)/3600)*15,360)</f>
        <v>148.80280014363979</v>
      </c>
      <c r="F36" s="38">
        <f>D36+(20.04*COS(RADIANS(C36*15))*(OBSERVATIONS!$U$35-36526)/365)/3600</f>
        <v>-60.479766223542605</v>
      </c>
      <c r="G36" s="38">
        <f>-17.3*SIN(RADIANS(125-0.05295*(OBSERVATIONS!$U$35-2451545)))-1.4*SIN(RADIANS(200+1.97129*(OBSERVATIONS!$U$35-2451545)))</f>
        <v>-15.507213434549312</v>
      </c>
      <c r="H36" s="38">
        <f>9.4*COS(RADIANS(125-0.05295*(OBSERVATIONS!$U$35-2451545)))+0.7*COS(RADIANS(200+1.97129*(OBSERVATIONS!$U$35-2451545)))</f>
        <v>-2.1041300782981658</v>
      </c>
      <c r="I36" s="41">
        <f t="shared" ref="I36" si="248">E36+(0.9175+0.3978*SIN(RADIANS(C36*15)*TAN(RADIANS(D36)))*G36-COS(RADIANS(C36*15))*TAN(RADIANS(D36))*H36)/3600</f>
        <v>148.8042583514802</v>
      </c>
      <c r="J36" s="41">
        <f t="shared" ref="J36" si="249">F36+(0.3978*COS(RADIANS(C36*15))*G36+SIN(RADIANS(C36))*H36)/3600</f>
        <v>-60.47843868285171</v>
      </c>
      <c r="L36" s="39"/>
      <c r="N36" s="40"/>
      <c r="O36" s="42" t="s">
        <v>160</v>
      </c>
      <c r="P36" s="40">
        <v>0</v>
      </c>
      <c r="Q36" s="40"/>
      <c r="R36" s="40"/>
      <c r="S36" s="40"/>
      <c r="T36" s="40"/>
      <c r="U36" s="40"/>
      <c r="V36" s="40"/>
      <c r="W36" s="40"/>
      <c r="X36" s="40"/>
      <c r="Y36" s="40">
        <f>MOD(V$4+OBSERVATIONS!$AO$13+I31,360)</f>
        <v>82.657394083450129</v>
      </c>
      <c r="Z36" s="40">
        <f t="shared" si="238"/>
        <v>82.657394083450129</v>
      </c>
      <c r="AA36" s="40">
        <f t="shared" si="247"/>
        <v>51.486203407561291</v>
      </c>
      <c r="AB36" s="40">
        <f t="shared" si="239"/>
        <v>0</v>
      </c>
      <c r="AC36" s="40">
        <f>ABS(TAN(RADIANS(ABS(OBSERVATIONS!$AO$12)))/TAN(RADIANS(ABS(Z36))))</f>
        <v>0.18800582697590118</v>
      </c>
      <c r="AD36" s="40">
        <f>IF(AB36=0,IF(OBSERVATIONS!$AY$35="N",-AC36,AC36),IF(OBSERVATIONS!$AY$35="N",AC36,-AC36))</f>
        <v>-0.18800582697590118</v>
      </c>
      <c r="AE36" s="40">
        <f t="shared" si="240"/>
        <v>1.2669404324531344</v>
      </c>
      <c r="AF36" s="40">
        <f t="shared" si="241"/>
        <v>1.0789346054772331</v>
      </c>
      <c r="AG36" s="40">
        <f>ABS(DEGREES(ATAN(1/(COS(RADIANS(ABS(OBSERVATIONS!$AO$12)))*AF36))))</f>
        <v>58.617780946071441</v>
      </c>
      <c r="AH36" s="40">
        <f t="shared" si="242"/>
        <v>301.38221905392857</v>
      </c>
      <c r="AI36" s="40">
        <f>AA36-OBSERVATIONS!$AO$12</f>
        <v>-4.0871299257720395</v>
      </c>
      <c r="AJ36" s="44">
        <f>DEGREES(ASIN(SIN(RADIANS(OBSERVATIONS!$AO$12))*SIN(RADIANS(AA36))+COS(RADIANS(OBSERVATIONS!$AO$12))*COS(RADIANS(AA36))*COS(RADIANS(Y36))))</f>
        <v>43.662037873424097</v>
      </c>
      <c r="AK36" s="44">
        <f t="shared" si="243"/>
        <v>43.662037873424097</v>
      </c>
      <c r="AL36" s="37" t="s">
        <v>160</v>
      </c>
      <c r="AM36" s="44">
        <f t="shared" si="244"/>
        <v>301.38221905392857</v>
      </c>
      <c r="AN36" s="44">
        <f t="shared" si="245"/>
        <v>43.662037873424097</v>
      </c>
      <c r="AO36" s="44"/>
      <c r="AP36" s="44"/>
      <c r="AQ36" s="44"/>
      <c r="AR36" s="44"/>
      <c r="AS36" s="40"/>
      <c r="AT36" s="44"/>
      <c r="AU36" s="40"/>
      <c r="AV36" s="44"/>
      <c r="AW36" s="40"/>
      <c r="AX36" s="44"/>
      <c r="AY36" s="40"/>
      <c r="AZ36" s="40"/>
      <c r="BA36" s="40"/>
      <c r="BB36" s="40"/>
      <c r="BC36" s="40"/>
      <c r="BD36" s="41"/>
      <c r="BF36" s="41"/>
      <c r="BH36" s="41"/>
      <c r="BI36" s="41"/>
      <c r="BJ36" s="41"/>
      <c r="BK36" s="41"/>
      <c r="BL36" s="41"/>
      <c r="BN36" s="41"/>
      <c r="BO36" s="41"/>
      <c r="BP36" s="41"/>
      <c r="BQ36" s="41"/>
      <c r="BX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L36" s="41"/>
      <c r="CM36" s="41"/>
      <c r="CN36" s="41"/>
      <c r="CO36" s="41"/>
      <c r="CP36" s="41"/>
      <c r="CR36" s="41"/>
      <c r="CS36" s="41"/>
      <c r="CT36" s="41"/>
      <c r="CU36" s="41"/>
      <c r="CV36" s="41"/>
      <c r="CW36" s="40"/>
      <c r="CX36" s="40"/>
      <c r="CY36" s="44"/>
      <c r="CZ36" s="40"/>
      <c r="DA36" s="40"/>
      <c r="DB36" s="40"/>
      <c r="DC36" s="40"/>
      <c r="DD36" s="47"/>
      <c r="DE36" s="47"/>
      <c r="DF36" s="47"/>
      <c r="DG36" s="48"/>
      <c r="DH36" s="47"/>
      <c r="DI36" s="47"/>
      <c r="DJ36" s="47"/>
      <c r="DK36" s="47"/>
      <c r="DL36" s="47"/>
      <c r="DM36" s="47"/>
      <c r="DN36" s="47"/>
      <c r="DO36" s="47"/>
      <c r="DP36" s="47"/>
      <c r="DQ36" s="47"/>
      <c r="DR36" s="47"/>
      <c r="DS36" s="47"/>
      <c r="DT36" s="47"/>
      <c r="DU36" s="47"/>
      <c r="DV36" s="47"/>
      <c r="DW36" s="47"/>
      <c r="DX36" s="47"/>
      <c r="DY36" s="47"/>
      <c r="DZ36" s="47"/>
      <c r="EA36" s="47"/>
      <c r="EB36" s="40"/>
      <c r="EC36" s="40"/>
      <c r="ED36" s="40"/>
      <c r="EE36" s="40"/>
      <c r="EF36" s="40"/>
      <c r="EG36" s="40"/>
      <c r="EH36" s="40"/>
      <c r="EI36" s="40"/>
      <c r="EJ36" s="40"/>
      <c r="EK36" s="40"/>
      <c r="EL36" s="40"/>
      <c r="EM36" s="40"/>
      <c r="EN36" s="40"/>
      <c r="EO36" s="40"/>
      <c r="EP36" s="40"/>
      <c r="EQ36" s="40"/>
      <c r="ER36" s="40"/>
      <c r="ES36" s="40"/>
      <c r="ET36" s="40"/>
      <c r="EU36" s="40"/>
      <c r="EV36" s="40"/>
      <c r="EW36" s="40"/>
      <c r="EX36" s="40"/>
      <c r="EY36" s="40"/>
      <c r="EZ36" s="40"/>
      <c r="FA36" s="40"/>
      <c r="FB36" s="40"/>
      <c r="FC36" s="40"/>
      <c r="FD36" s="40"/>
      <c r="FE36" s="40"/>
      <c r="FF36" s="40"/>
      <c r="FG36" s="40"/>
      <c r="FH36" s="40"/>
      <c r="FI36" s="40"/>
      <c r="FJ36" s="40"/>
      <c r="FK36" s="40"/>
      <c r="FL36" s="40"/>
      <c r="FM36" s="40"/>
      <c r="FN36" s="40"/>
      <c r="FO36" s="40"/>
    </row>
    <row r="37" spans="2:171" s="34" customFormat="1" ht="15" customHeight="1">
      <c r="B37" s="37" t="s">
        <v>166</v>
      </c>
      <c r="C37" s="34">
        <f>(2+7/60+10/3600)</f>
        <v>2.1194444444444445</v>
      </c>
      <c r="D37" s="34">
        <f>23+27.8/60</f>
        <v>23.463333333333335</v>
      </c>
      <c r="E37" s="38">
        <f>MOD(360-(C37+((3.075+1.336*SIN(RADIANS(C37))*TAN(RADIANS(D37)))*(OBSERVATIONS!$U$35-36526)/365)/3600)*15,360)</f>
        <v>327.9026829979486</v>
      </c>
      <c r="F37" s="38">
        <f>D37+(20.04*COS(RADIANS(C37*15))*(OBSERVATIONS!$U$35-36526)/365)/3600</f>
        <v>23.575424416084317</v>
      </c>
      <c r="G37" s="38">
        <f>-17.3*SIN(RADIANS(125-0.05295*(OBSERVATIONS!$U$35-2451545)))-1.4*SIN(RADIANS(200+1.97129*(OBSERVATIONS!$U$35-2451545)))</f>
        <v>-15.507213434549312</v>
      </c>
      <c r="H37" s="38">
        <f>9.4*COS(RADIANS(125-0.05295*(OBSERVATIONS!$U$35-2451545)))+0.7*COS(RADIANS(200+1.97129*(OBSERVATIONS!$U$35-2451545)))</f>
        <v>-2.1041300782981658</v>
      </c>
      <c r="I37" s="41">
        <f t="shared" ref="I37:I60" si="250">E37+(0.9175+0.3978*SIN(RADIANS(C37*15)*TAN(RADIANS(D37)))*G37-COS(RADIANS(C37*15))*TAN(RADIANS(D37))*H37)/3600</f>
        <v>327.90274477601406</v>
      </c>
      <c r="J37" s="41">
        <f t="shared" ref="J37:J60" si="251">F37+(0.3978*COS(RADIANS(C37*15))*G37+SIN(RADIANS(C37))*H37)/3600</f>
        <v>23.573946337866282</v>
      </c>
      <c r="L37" s="39"/>
      <c r="N37" s="40"/>
      <c r="O37" s="42" t="s">
        <v>161</v>
      </c>
      <c r="P37" s="40">
        <v>0</v>
      </c>
      <c r="Q37" s="40"/>
      <c r="R37" s="40"/>
      <c r="S37" s="40"/>
      <c r="T37" s="40"/>
      <c r="U37" s="40"/>
      <c r="V37" s="40"/>
      <c r="W37" s="40"/>
      <c r="X37" s="40"/>
      <c r="Y37" s="40">
        <f>MOD(V$4+OBSERVATIONS!$AO$13+I32,360)</f>
        <v>25.797972363885322</v>
      </c>
      <c r="Z37" s="40">
        <f t="shared" si="238"/>
        <v>25.797972363885322</v>
      </c>
      <c r="AA37" s="40">
        <f t="shared" si="247"/>
        <v>9.9827465299444746</v>
      </c>
      <c r="AB37" s="40">
        <f t="shared" si="239"/>
        <v>0</v>
      </c>
      <c r="AC37" s="40">
        <f>ABS(TAN(RADIANS(ABS(OBSERVATIONS!$AO$12)))/TAN(RADIANS(ABS(Z37))))</f>
        <v>3.0183714925973315</v>
      </c>
      <c r="AD37" s="40">
        <f>IF(AB37=0,IF(OBSERVATIONS!$AY$35="N",-AC37,AC37),IF(OBSERVATIONS!$AY$35="N",AC37,-AC37))</f>
        <v>-3.0183714925973315</v>
      </c>
      <c r="AE37" s="40">
        <f t="shared" si="240"/>
        <v>0.40445039777754466</v>
      </c>
      <c r="AF37" s="40">
        <f t="shared" si="241"/>
        <v>-2.6139210948197871</v>
      </c>
      <c r="AG37" s="40">
        <f>ABS(DEGREES(ATAN(1/(COS(RADIANS(ABS(OBSERVATIONS!$AO$12)))*AF37))))</f>
        <v>34.085796257437394</v>
      </c>
      <c r="AH37" s="40">
        <f t="shared" si="242"/>
        <v>214.08579625743738</v>
      </c>
      <c r="AI37" s="40">
        <f>AA37-OBSERVATIONS!$AO$12</f>
        <v>-45.590586803388859</v>
      </c>
      <c r="AJ37" s="44">
        <f>DEGREES(ASIN(SIN(RADIANS(OBSERVATIONS!$AO$12))*SIN(RADIANS(AA37))+COS(RADIANS(OBSERVATIONS!$AO$12))*COS(RADIANS(AA37))*COS(RADIANS(Y37))))</f>
        <v>40.11228482049529</v>
      </c>
      <c r="AK37" s="44">
        <f t="shared" si="243"/>
        <v>40.11228482049529</v>
      </c>
      <c r="AL37" s="37" t="s">
        <v>161</v>
      </c>
      <c r="AM37" s="44">
        <f t="shared" si="244"/>
        <v>214.08579625743738</v>
      </c>
      <c r="AN37" s="44">
        <f t="shared" si="245"/>
        <v>40.11228482049529</v>
      </c>
      <c r="AO37" s="44"/>
      <c r="AP37" s="44"/>
      <c r="AQ37" s="44"/>
      <c r="AR37" s="44"/>
      <c r="AS37" s="40"/>
      <c r="AT37" s="44"/>
      <c r="AU37" s="40"/>
      <c r="AV37" s="44"/>
      <c r="AW37" s="40"/>
      <c r="AX37" s="44"/>
      <c r="AY37" s="40"/>
      <c r="AZ37" s="40"/>
      <c r="BA37" s="40"/>
      <c r="BB37" s="40"/>
      <c r="BC37" s="40"/>
      <c r="BD37" s="41"/>
      <c r="BF37" s="41"/>
      <c r="BH37" s="41"/>
      <c r="BI37" s="41"/>
      <c r="BJ37" s="41"/>
      <c r="BK37" s="41"/>
      <c r="BL37" s="41"/>
      <c r="BN37" s="41"/>
      <c r="BO37" s="41"/>
      <c r="BP37" s="41"/>
      <c r="BQ37" s="41"/>
      <c r="BX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L37" s="41"/>
      <c r="CM37" s="41"/>
      <c r="CN37" s="41"/>
      <c r="CO37" s="41"/>
      <c r="CP37" s="41"/>
      <c r="CR37" s="41"/>
      <c r="CS37" s="41"/>
      <c r="CT37" s="41"/>
      <c r="CU37" s="41"/>
      <c r="CV37" s="41"/>
      <c r="CW37" s="40"/>
      <c r="CX37" s="40"/>
      <c r="CY37" s="44"/>
      <c r="CZ37" s="40"/>
      <c r="DA37" s="40"/>
      <c r="DB37" s="40"/>
      <c r="DC37" s="40"/>
      <c r="DD37" s="47"/>
      <c r="DE37" s="47"/>
      <c r="DF37" s="47"/>
      <c r="DG37" s="48"/>
      <c r="DH37" s="47"/>
      <c r="DI37" s="47"/>
      <c r="DJ37" s="47"/>
      <c r="DK37" s="47"/>
      <c r="DL37" s="47"/>
      <c r="DM37" s="47"/>
      <c r="DN37" s="47"/>
      <c r="DO37" s="47"/>
      <c r="DP37" s="47"/>
      <c r="DQ37" s="47"/>
      <c r="DR37" s="47"/>
      <c r="DS37" s="47"/>
      <c r="DT37" s="47"/>
      <c r="DU37" s="47"/>
      <c r="DV37" s="47"/>
      <c r="DW37" s="47"/>
      <c r="DX37" s="47"/>
      <c r="DY37" s="47"/>
      <c r="DZ37" s="47"/>
      <c r="EA37" s="47"/>
      <c r="EB37" s="40"/>
      <c r="EC37" s="40"/>
      <c r="ED37" s="40"/>
      <c r="EE37" s="40"/>
      <c r="EF37" s="40"/>
      <c r="EG37" s="40"/>
      <c r="EH37" s="40"/>
      <c r="EI37" s="40"/>
      <c r="EJ37" s="40"/>
      <c r="EK37" s="40"/>
      <c r="EL37" s="40"/>
      <c r="EM37" s="40"/>
      <c r="EN37" s="40"/>
      <c r="EO37" s="40"/>
      <c r="EP37" s="40"/>
      <c r="EQ37" s="40"/>
      <c r="ER37" s="40"/>
      <c r="ES37" s="40"/>
      <c r="ET37" s="40"/>
      <c r="EU37" s="40"/>
      <c r="EV37" s="40"/>
      <c r="EW37" s="40"/>
      <c r="EX37" s="40"/>
      <c r="EY37" s="40"/>
      <c r="EZ37" s="40"/>
      <c r="FA37" s="40"/>
      <c r="FB37" s="40"/>
      <c r="FC37" s="40"/>
      <c r="FD37" s="40"/>
      <c r="FE37" s="40"/>
      <c r="FF37" s="40"/>
      <c r="FG37" s="40"/>
      <c r="FH37" s="40"/>
      <c r="FI37" s="40"/>
      <c r="FJ37" s="40"/>
      <c r="FK37" s="40"/>
      <c r="FL37" s="40"/>
      <c r="FM37" s="40"/>
      <c r="FN37" s="40"/>
      <c r="FO37" s="40"/>
    </row>
    <row r="38" spans="2:171" s="34" customFormat="1" ht="15" customHeight="1">
      <c r="B38" s="37" t="s">
        <v>167</v>
      </c>
      <c r="C38" s="34">
        <f>(18+24/60+7/3600)</f>
        <v>18.401944444444442</v>
      </c>
      <c r="D38" s="34">
        <f>-34-23/60</f>
        <v>-34.383333333333333</v>
      </c>
      <c r="E38" s="38">
        <f>MOD(360-(C38+((3.075+1.336*SIN(RADIANS(C38))*TAN(RADIANS(D38)))*(OBSERVATIONS!$U$35-36526)/365)/3600)*15,360)</f>
        <v>83.6957874825045</v>
      </c>
      <c r="F38" s="38">
        <f>D38+(20.04*COS(RADIANS(C38*15))*(OBSERVATIONS!$U$35-36526)/365)/3600</f>
        <v>-34.36948170997632</v>
      </c>
      <c r="G38" s="38">
        <f>-17.3*SIN(RADIANS(125-0.05295*(OBSERVATIONS!$U$35-2451545)))-1.4*SIN(RADIANS(200+1.97129*(OBSERVATIONS!$U$35-2451545)))</f>
        <v>-15.507213434549312</v>
      </c>
      <c r="H38" s="38">
        <f>9.4*COS(RADIANS(125-0.05295*(OBSERVATIONS!$U$35-2451545)))+0.7*COS(RADIANS(200+1.97129*(OBSERVATIONS!$U$35-2451545)))</f>
        <v>-2.1041300782981658</v>
      </c>
      <c r="I38" s="41">
        <f t="shared" si="250"/>
        <v>83.695735727571133</v>
      </c>
      <c r="J38" s="41">
        <f t="shared" si="251"/>
        <v>-34.369846201459346</v>
      </c>
      <c r="L38" s="39"/>
      <c r="N38" s="40"/>
      <c r="O38" s="42" t="s">
        <v>162</v>
      </c>
      <c r="P38" s="40">
        <v>0</v>
      </c>
      <c r="Q38" s="40"/>
      <c r="R38" s="40"/>
      <c r="S38" s="40"/>
      <c r="T38" s="40"/>
      <c r="U38" s="40"/>
      <c r="V38" s="40"/>
      <c r="W38" s="40"/>
      <c r="X38" s="40"/>
      <c r="Y38" s="40">
        <f>MOD(V$4+OBSERVATIONS!$AO$13+I33,360)</f>
        <v>7.4737903080244905</v>
      </c>
      <c r="Z38" s="40">
        <f t="shared" si="238"/>
        <v>7.4737903080244905</v>
      </c>
      <c r="AA38" s="40">
        <f t="shared" si="247"/>
        <v>-29.501523922799976</v>
      </c>
      <c r="AB38" s="40">
        <f t="shared" si="239"/>
        <v>0</v>
      </c>
      <c r="AC38" s="40">
        <f>ABS(TAN(RADIANS(ABS(OBSERVATIONS!$AO$12)))/TAN(RADIANS(ABS(Z38))))</f>
        <v>11.121561802680032</v>
      </c>
      <c r="AD38" s="40">
        <f>IF(AB38=0,IF(OBSERVATIONS!$AY$35="N",-AC38,AC38),IF(OBSERVATIONS!$AY$35="N",AC38,-AC38))</f>
        <v>-11.121561802680032</v>
      </c>
      <c r="AE38" s="40">
        <f t="shared" si="240"/>
        <v>-4.3499375503089217</v>
      </c>
      <c r="AF38" s="40">
        <f t="shared" si="241"/>
        <v>-15.471499352988953</v>
      </c>
      <c r="AG38" s="40">
        <f>ABS(DEGREES(ATAN(1/(COS(RADIANS(ABS(OBSERVATIONS!$AO$12)))*AF38))))</f>
        <v>6.5221464065106272</v>
      </c>
      <c r="AH38" s="40">
        <f t="shared" si="242"/>
        <v>186.52214640651061</v>
      </c>
      <c r="AI38" s="40">
        <f>AA38-OBSERVATIONS!$AO$12</f>
        <v>-85.074857256133299</v>
      </c>
      <c r="AJ38" s="44">
        <f>DEGREES(ASIN(SIN(RADIANS(OBSERVATIONS!$AO$12))*SIN(RADIANS(AA38))+COS(RADIANS(OBSERVATIONS!$AO$12))*COS(RADIANS(AA38))*COS(RADIANS(Y38))))</f>
        <v>4.6847889553309239</v>
      </c>
      <c r="AK38" s="44">
        <f t="shared" si="243"/>
        <v>4.6847889553309239</v>
      </c>
      <c r="AL38" s="37" t="s">
        <v>162</v>
      </c>
      <c r="AM38" s="44">
        <f t="shared" si="244"/>
        <v>186.52214640651061</v>
      </c>
      <c r="AN38" s="44">
        <f t="shared" si="245"/>
        <v>4.6847889553309239</v>
      </c>
      <c r="AO38" s="44"/>
      <c r="AP38" s="44"/>
      <c r="AQ38" s="44"/>
      <c r="AR38" s="44"/>
      <c r="AS38" s="40"/>
      <c r="AT38" s="44"/>
      <c r="AU38" s="40"/>
      <c r="AV38" s="44"/>
      <c r="AW38" s="40"/>
      <c r="AX38" s="44"/>
      <c r="AY38" s="40"/>
      <c r="AZ38" s="40"/>
      <c r="BA38" s="40"/>
      <c r="BB38" s="40"/>
      <c r="BC38" s="40"/>
      <c r="BD38" s="41"/>
      <c r="BF38" s="41"/>
      <c r="BH38" s="41"/>
      <c r="BI38" s="41"/>
      <c r="BJ38" s="41"/>
      <c r="BK38" s="41"/>
      <c r="BL38" s="41"/>
      <c r="BN38" s="41"/>
      <c r="BO38" s="41"/>
      <c r="BP38" s="41"/>
      <c r="BQ38" s="41"/>
      <c r="BX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L38" s="41"/>
      <c r="CM38" s="41"/>
      <c r="CN38" s="41"/>
      <c r="CO38" s="41"/>
      <c r="CP38" s="41"/>
      <c r="CR38" s="41"/>
      <c r="CS38" s="41"/>
      <c r="CT38" s="41"/>
      <c r="CU38" s="41"/>
      <c r="CV38" s="41"/>
      <c r="CW38" s="40"/>
      <c r="CX38" s="40"/>
      <c r="CY38" s="44"/>
      <c r="CZ38" s="40"/>
      <c r="DA38" s="40"/>
      <c r="DB38" s="40"/>
      <c r="DC38" s="40"/>
      <c r="DD38" s="47"/>
      <c r="DE38" s="47"/>
      <c r="DF38" s="47"/>
      <c r="DG38" s="48"/>
      <c r="DH38" s="47"/>
      <c r="DI38" s="47"/>
      <c r="DJ38" s="47"/>
      <c r="DK38" s="47"/>
      <c r="DL38" s="47"/>
      <c r="DM38" s="47"/>
      <c r="DN38" s="47"/>
      <c r="DO38" s="47"/>
      <c r="DP38" s="47"/>
      <c r="DQ38" s="47"/>
      <c r="DR38" s="47"/>
      <c r="DS38" s="47"/>
      <c r="DT38" s="47"/>
      <c r="DU38" s="47"/>
      <c r="DV38" s="47"/>
      <c r="DW38" s="47"/>
      <c r="DX38" s="47"/>
      <c r="DY38" s="47"/>
      <c r="DZ38" s="47"/>
      <c r="EA38" s="47"/>
      <c r="EB38" s="40"/>
      <c r="EC38" s="40"/>
      <c r="ED38" s="40"/>
      <c r="EE38" s="40"/>
      <c r="EF38" s="40"/>
      <c r="EG38" s="40"/>
      <c r="EH38" s="40"/>
      <c r="EI38" s="40"/>
      <c r="EJ38" s="40"/>
      <c r="EK38" s="40"/>
      <c r="EL38" s="40"/>
      <c r="EM38" s="40"/>
      <c r="EN38" s="40"/>
      <c r="EO38" s="40"/>
      <c r="EP38" s="40"/>
      <c r="EQ38" s="40"/>
      <c r="ER38" s="40"/>
      <c r="ES38" s="40"/>
      <c r="ET38" s="40"/>
      <c r="EU38" s="40"/>
      <c r="EV38" s="40"/>
      <c r="EW38" s="40"/>
      <c r="EX38" s="40"/>
      <c r="EY38" s="40"/>
      <c r="EZ38" s="40"/>
      <c r="FA38" s="40"/>
      <c r="FB38" s="40"/>
      <c r="FC38" s="40"/>
      <c r="FD38" s="40"/>
      <c r="FE38" s="40"/>
      <c r="FF38" s="40"/>
      <c r="FG38" s="40"/>
      <c r="FH38" s="40"/>
      <c r="FI38" s="40"/>
      <c r="FJ38" s="40"/>
      <c r="FK38" s="40"/>
      <c r="FL38" s="40"/>
      <c r="FM38" s="40"/>
      <c r="FN38" s="40"/>
      <c r="FO38" s="40"/>
    </row>
    <row r="39" spans="2:171" s="34" customFormat="1" ht="15" customHeight="1">
      <c r="B39" s="37" t="s">
        <v>168</v>
      </c>
      <c r="C39" s="34">
        <f>(14+50/60+39/3600)</f>
        <v>14.844166666666668</v>
      </c>
      <c r="D39" s="34">
        <f>74+9.2/60</f>
        <v>74.153333333333336</v>
      </c>
      <c r="E39" s="38">
        <f>MOD(360-(C39+((3.075+1.336*SIN(RADIANS(C39))*TAN(RADIANS(D39)))*(OBSERVATIONS!$U$35-36526)/365)/3600)*15,360)</f>
        <v>136.91494095022037</v>
      </c>
      <c r="F39" s="38">
        <f>D39+(20.04*COS(RADIANS(C39*15))*(OBSERVATIONS!$U$35-36526)/365)/3600</f>
        <v>74.056356766533312</v>
      </c>
      <c r="G39" s="38">
        <f>-17.3*SIN(RADIANS(125-0.05295*(OBSERVATIONS!$U$35-2451545)))-1.4*SIN(RADIANS(200+1.97129*(OBSERVATIONS!$U$35-2451545)))</f>
        <v>-15.507213434549312</v>
      </c>
      <c r="H39" s="38">
        <f>9.4*COS(RADIANS(125-0.05295*(OBSERVATIONS!$U$35-2451545)))+0.7*COS(RADIANS(200+1.97129*(OBSERVATIONS!$U$35-2451545)))</f>
        <v>-2.1041300782981658</v>
      </c>
      <c r="I39" s="41">
        <f t="shared" si="250"/>
        <v>136.91213586589549</v>
      </c>
      <c r="J39" s="41">
        <f t="shared" si="251"/>
        <v>74.057467098949928</v>
      </c>
      <c r="L39" s="39"/>
      <c r="N39" s="40"/>
      <c r="O39" s="42" t="s">
        <v>163</v>
      </c>
      <c r="P39" s="40">
        <v>0</v>
      </c>
      <c r="Q39" s="40"/>
      <c r="R39" s="40"/>
      <c r="S39" s="40"/>
      <c r="T39" s="40"/>
      <c r="U39" s="40"/>
      <c r="V39" s="40"/>
      <c r="W39" s="40"/>
      <c r="X39" s="40"/>
      <c r="Y39" s="40">
        <f>MOD(V$4+OBSERVATIONS!$AO$13+I34,360)</f>
        <v>164.10131166313511</v>
      </c>
      <c r="Z39" s="40">
        <f t="shared" ref="Z39" si="252">IF(Y39&gt;180,360-Y39,Y39)</f>
        <v>164.10131166313511</v>
      </c>
      <c r="AA39" s="40">
        <f t="shared" si="247"/>
        <v>-57.235754717387223</v>
      </c>
      <c r="AB39" s="40">
        <f t="shared" ref="AB39" si="253">IF(Y39&gt;90,IF(Y39&lt;270,1,0),0)</f>
        <v>1</v>
      </c>
      <c r="AC39" s="40">
        <f>ABS(TAN(RADIANS(ABS(OBSERVATIONS!$AO$12)))/TAN(RADIANS(ABS(Z39))))</f>
        <v>5.1223254668501799</v>
      </c>
      <c r="AD39" s="40">
        <f>IF(AB39=0,IF(OBSERVATIONS!$AY$35="N",-AC39,AC39),IF(OBSERVATIONS!$AY$35="N",AC39,-AC39))</f>
        <v>5.1223254668501799</v>
      </c>
      <c r="AE39" s="40">
        <f t="shared" ref="AE39" si="254">IF(AA39&gt;0,ABS(TAN(RADIANS(AA39))/SIN(RADIANS(Y39))),-ABS(TAN(RADIANS(AA39))/SIN(RADIANS(Y39))))</f>
        <v>-5.6721937817555936</v>
      </c>
      <c r="AF39" s="40">
        <f t="shared" ref="AF39" si="255">AD39+AE39</f>
        <v>-0.54986831490541377</v>
      </c>
      <c r="AG39" s="40">
        <f>ABS(DEGREES(ATAN(1/(COS(RADIANS(ABS(OBSERVATIONS!$AO$12)))*AF39))))</f>
        <v>72.73117200674875</v>
      </c>
      <c r="AH39" s="40">
        <f t="shared" ref="AH39" si="256">IF(AF39&lt;0,IF(Y39&lt;180,180+AG39,180-AG39),IF(Y39&lt;180,360-AG39,AG39))</f>
        <v>252.73117200674875</v>
      </c>
      <c r="AI39" s="40">
        <f>AA39-OBSERVATIONS!$AO$12</f>
        <v>-112.80908805072056</v>
      </c>
      <c r="AJ39" s="44">
        <f>DEGREES(ASIN(SIN(RADIANS(OBSERVATIONS!$AO$12))*SIN(RADIANS(AA39))+COS(RADIANS(OBSERVATIONS!$AO$12))*COS(RADIANS(AA39))*COS(RADIANS(Y39))))</f>
        <v>-81.068789306895795</v>
      </c>
      <c r="AK39" s="44">
        <f t="shared" ref="AK39" si="257">AJ39</f>
        <v>-81.068789306895795</v>
      </c>
      <c r="AL39" s="37" t="s">
        <v>163</v>
      </c>
      <c r="AM39" s="44">
        <f t="shared" ref="AM39" si="258">AH39</f>
        <v>252.73117200674875</v>
      </c>
      <c r="AN39" s="44">
        <f t="shared" ref="AN39" si="259">AJ39</f>
        <v>-81.068789306895795</v>
      </c>
      <c r="AO39" s="44"/>
      <c r="AP39" s="44"/>
      <c r="AQ39" s="44"/>
      <c r="AR39" s="44"/>
      <c r="AS39" s="40"/>
      <c r="AT39" s="44"/>
      <c r="AU39" s="40"/>
      <c r="AV39" s="44"/>
      <c r="AW39" s="40"/>
      <c r="AX39" s="44"/>
      <c r="AY39" s="40"/>
      <c r="AZ39" s="40"/>
      <c r="BA39" s="40"/>
      <c r="BB39" s="40"/>
      <c r="BC39" s="40"/>
      <c r="BD39" s="41"/>
      <c r="BF39" s="41"/>
      <c r="BH39" s="41"/>
      <c r="BI39" s="41"/>
      <c r="BJ39" s="41"/>
      <c r="BK39" s="41"/>
      <c r="BL39" s="41"/>
      <c r="BN39" s="41"/>
      <c r="BO39" s="41"/>
      <c r="BP39" s="41"/>
      <c r="BQ39" s="41"/>
      <c r="BX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L39" s="41"/>
      <c r="CM39" s="41"/>
      <c r="CN39" s="41"/>
      <c r="CO39" s="41"/>
      <c r="CP39" s="41"/>
      <c r="CR39" s="41"/>
      <c r="CS39" s="41"/>
      <c r="CT39" s="41"/>
      <c r="CU39" s="41"/>
      <c r="CV39" s="41"/>
      <c r="CW39" s="40"/>
      <c r="CX39" s="40"/>
      <c r="CY39" s="44"/>
      <c r="CZ39" s="40"/>
      <c r="DA39" s="40"/>
      <c r="DB39" s="40"/>
      <c r="DC39" s="40"/>
      <c r="DD39" s="47"/>
      <c r="DE39" s="47"/>
      <c r="DF39" s="47"/>
      <c r="DG39" s="48"/>
      <c r="DH39" s="47"/>
      <c r="DI39" s="47"/>
      <c r="DJ39" s="47"/>
      <c r="DK39" s="47"/>
      <c r="DL39" s="47"/>
      <c r="DM39" s="47"/>
      <c r="DN39" s="47"/>
      <c r="DO39" s="47"/>
      <c r="DP39" s="47"/>
      <c r="DQ39" s="47"/>
      <c r="DR39" s="47"/>
      <c r="DS39" s="47"/>
      <c r="DT39" s="47"/>
      <c r="DU39" s="47"/>
      <c r="DV39" s="47"/>
      <c r="DW39" s="47"/>
      <c r="DX39" s="47"/>
      <c r="DY39" s="47"/>
      <c r="DZ39" s="47"/>
      <c r="EA39" s="47"/>
      <c r="EB39" s="40"/>
      <c r="EC39" s="40"/>
      <c r="ED39" s="40"/>
      <c r="EE39" s="40"/>
      <c r="EF39" s="40"/>
      <c r="EG39" s="40"/>
      <c r="EH39" s="40"/>
      <c r="EI39" s="40"/>
      <c r="EJ39" s="40"/>
      <c r="EK39" s="40"/>
      <c r="EL39" s="40"/>
      <c r="EM39" s="40"/>
      <c r="EN39" s="40"/>
      <c r="EO39" s="40"/>
      <c r="EP39" s="40"/>
      <c r="EQ39" s="40"/>
      <c r="ER39" s="40"/>
      <c r="ES39" s="40"/>
      <c r="ET39" s="40"/>
      <c r="EU39" s="40"/>
      <c r="EV39" s="40"/>
      <c r="EW39" s="40"/>
      <c r="EX39" s="40"/>
      <c r="EY39" s="40"/>
      <c r="EZ39" s="40"/>
      <c r="FA39" s="40"/>
      <c r="FB39" s="40"/>
      <c r="FC39" s="40"/>
      <c r="FD39" s="40"/>
      <c r="FE39" s="40"/>
      <c r="FF39" s="40"/>
      <c r="FG39" s="40"/>
      <c r="FH39" s="40"/>
      <c r="FI39" s="40"/>
      <c r="FJ39" s="40"/>
      <c r="FK39" s="40"/>
      <c r="FL39" s="40"/>
      <c r="FM39" s="40"/>
      <c r="FN39" s="40"/>
      <c r="FO39" s="40"/>
    </row>
    <row r="40" spans="2:171" s="34" customFormat="1" ht="15" customHeight="1">
      <c r="B40" s="37" t="s">
        <v>169</v>
      </c>
      <c r="C40" s="34">
        <f>(23+4/60+44/3600)</f>
        <v>23.078888888888887</v>
      </c>
      <c r="D40" s="34">
        <f>15+12.3/60</f>
        <v>15.205</v>
      </c>
      <c r="E40" s="38">
        <f>MOD(360-(C40+((3.075+1.336*SIN(RADIANS(C40))*TAN(RADIANS(D40)))*(OBSERVATIONS!$U$35-36526)/365)/3600)*15,360)</f>
        <v>13.499083103992518</v>
      </c>
      <c r="F40" s="38">
        <f>D40+(20.04*COS(RADIANS(C40*15))*(OBSERVATIONS!$U$35-36526)/365)/3600</f>
        <v>15.333060751491518</v>
      </c>
      <c r="G40" s="38">
        <f>-17.3*SIN(RADIANS(125-0.05295*(OBSERVATIONS!$U$35-2451545)))-1.4*SIN(RADIANS(200+1.97129*(OBSERVATIONS!$U$35-2451545)))</f>
        <v>-15.507213434549312</v>
      </c>
      <c r="H40" s="38">
        <f>9.4*COS(RADIANS(125-0.05295*(OBSERVATIONS!$U$35-2451545)))+0.7*COS(RADIANS(200+1.97129*(OBSERVATIONS!$U$35-2451545)))</f>
        <v>-2.1041300782981658</v>
      </c>
      <c r="I40" s="41">
        <f t="shared" si="250"/>
        <v>13.49778303667518</v>
      </c>
      <c r="J40" s="41">
        <f t="shared" si="251"/>
        <v>15.331167670826005</v>
      </c>
      <c r="L40" s="39"/>
      <c r="N40" s="40"/>
      <c r="O40" s="42" t="s">
        <v>164</v>
      </c>
      <c r="P40" s="40">
        <v>0</v>
      </c>
      <c r="Q40" s="40"/>
      <c r="R40" s="40"/>
      <c r="S40" s="40"/>
      <c r="T40" s="40"/>
      <c r="U40" s="40"/>
      <c r="V40" s="40"/>
      <c r="W40" s="40"/>
      <c r="X40" s="40"/>
      <c r="Y40" s="40">
        <f>MOD(V$4+OBSERVATIONS!$AO$13+I35,360)</f>
        <v>167.9099815351808</v>
      </c>
      <c r="Z40" s="40">
        <f t="shared" ref="Z40:Z69" si="260">IF(Y40&gt;180,360-Y40,Y40)</f>
        <v>167.9099815351808</v>
      </c>
      <c r="AA40" s="40">
        <f t="shared" si="247"/>
        <v>-17.668311357295327</v>
      </c>
      <c r="AB40" s="40">
        <f t="shared" ref="AB40:AB69" si="261">IF(Y40&gt;90,IF(Y40&lt;270,1,0),0)</f>
        <v>1</v>
      </c>
      <c r="AC40" s="40">
        <f>ABS(TAN(RADIANS(ABS(OBSERVATIONS!$AO$12)))/TAN(RADIANS(ABS(Z40))))</f>
        <v>6.8114442990261024</v>
      </c>
      <c r="AD40" s="40">
        <f>IF(AB40=0,IF(OBSERVATIONS!$AY$35="N",-AC40,AC40),IF(OBSERVATIONS!$AY$35="N",AC40,-AC40))</f>
        <v>6.8114442990261024</v>
      </c>
      <c r="AE40" s="40">
        <f t="shared" ref="AE40:AE69" si="262">IF(AA40&gt;0,ABS(TAN(RADIANS(AA40))/SIN(RADIANS(Y40))),-ABS(TAN(RADIANS(AA40))/SIN(RADIANS(Y40))))</f>
        <v>-1.52081223601031</v>
      </c>
      <c r="AF40" s="40">
        <f t="shared" ref="AF40:AF69" si="263">AD40+AE40</f>
        <v>5.2906320630157921</v>
      </c>
      <c r="AG40" s="40">
        <f>ABS(DEGREES(ATAN(1/(COS(RADIANS(ABS(OBSERVATIONS!$AO$12)))*AF40))))</f>
        <v>18.486286199209367</v>
      </c>
      <c r="AH40" s="40">
        <f t="shared" ref="AH40:AH69" si="264">IF(AF40&lt;0,IF(Y40&lt;180,180+AG40,180-AG40),IF(Y40&lt;180,360-AG40,AG40))</f>
        <v>341.51371380079064</v>
      </c>
      <c r="AI40" s="40">
        <f>AA40-OBSERVATIONS!$AO$12</f>
        <v>-73.241644690628661</v>
      </c>
      <c r="AJ40" s="44">
        <f>DEGREES(ASIN(SIN(RADIANS(OBSERVATIONS!$AO$12))*SIN(RADIANS(AA40))+COS(RADIANS(OBSERVATIONS!$AO$12))*COS(RADIANS(AA40))*COS(RADIANS(Y40))))</f>
        <v>-50.994186981455343</v>
      </c>
      <c r="AK40" s="44">
        <f t="shared" ref="AK40:AK69" si="265">AJ40</f>
        <v>-50.994186981455343</v>
      </c>
      <c r="AL40" s="37" t="s">
        <v>164</v>
      </c>
      <c r="AM40" s="44">
        <f t="shared" ref="AM40:AM69" si="266">AH40</f>
        <v>341.51371380079064</v>
      </c>
      <c r="AN40" s="44">
        <f t="shared" ref="AN40:AN69" si="267">AJ40</f>
        <v>-50.994186981455343</v>
      </c>
      <c r="AO40" s="44"/>
      <c r="AP40" s="44"/>
      <c r="AQ40" s="44"/>
      <c r="AR40" s="44"/>
      <c r="AS40" s="40"/>
      <c r="AT40" s="44"/>
      <c r="AU40" s="40"/>
      <c r="AV40" s="44"/>
      <c r="AW40" s="40"/>
      <c r="AX40" s="44"/>
      <c r="AY40" s="40"/>
      <c r="AZ40" s="40"/>
      <c r="BA40" s="40"/>
      <c r="BB40" s="40"/>
      <c r="BC40" s="40"/>
      <c r="BD40" s="41"/>
      <c r="BF40" s="41"/>
      <c r="BH40" s="41"/>
      <c r="BI40" s="41"/>
      <c r="BJ40" s="41"/>
      <c r="BK40" s="41"/>
      <c r="BL40" s="41"/>
      <c r="BN40" s="41"/>
      <c r="BO40" s="41"/>
      <c r="BP40" s="41"/>
      <c r="BQ40" s="41"/>
      <c r="BX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L40" s="41"/>
      <c r="CM40" s="41"/>
      <c r="CN40" s="41"/>
      <c r="CO40" s="41"/>
      <c r="CP40" s="41"/>
      <c r="CR40" s="41"/>
      <c r="CS40" s="41"/>
      <c r="CT40" s="41"/>
      <c r="CU40" s="41"/>
      <c r="CV40" s="41"/>
      <c r="CW40" s="40"/>
      <c r="CX40" s="40"/>
      <c r="CY40" s="44"/>
      <c r="CZ40" s="40"/>
      <c r="DA40" s="40"/>
      <c r="DB40" s="40"/>
      <c r="DC40" s="40"/>
      <c r="DD40" s="47"/>
      <c r="DE40" s="47"/>
      <c r="DF40" s="47"/>
      <c r="DG40" s="48"/>
      <c r="DH40" s="47"/>
      <c r="DI40" s="47"/>
      <c r="DJ40" s="47"/>
      <c r="DK40" s="47"/>
      <c r="DL40" s="47"/>
      <c r="DM40" s="47"/>
      <c r="DN40" s="47"/>
      <c r="DO40" s="47"/>
      <c r="DP40" s="47"/>
      <c r="DQ40" s="47"/>
      <c r="DR40" s="47"/>
      <c r="DS40" s="47"/>
      <c r="DT40" s="47"/>
      <c r="DU40" s="47"/>
      <c r="DV40" s="47"/>
      <c r="DW40" s="47"/>
      <c r="DX40" s="47"/>
      <c r="DY40" s="47"/>
      <c r="DZ40" s="47"/>
      <c r="EA40" s="47"/>
      <c r="EB40" s="40"/>
      <c r="EC40" s="40"/>
      <c r="ED40" s="40"/>
      <c r="EE40" s="40"/>
      <c r="EF40" s="40"/>
      <c r="EG40" s="40"/>
      <c r="EH40" s="40"/>
      <c r="EI40" s="40"/>
      <c r="EJ40" s="40"/>
      <c r="EK40" s="40"/>
      <c r="EL40" s="40"/>
      <c r="EM40" s="40"/>
      <c r="EN40" s="40"/>
      <c r="EO40" s="40"/>
      <c r="EP40" s="40"/>
      <c r="EQ40" s="40"/>
      <c r="ER40" s="40"/>
      <c r="ES40" s="40"/>
      <c r="ET40" s="40"/>
      <c r="EU40" s="40"/>
      <c r="EV40" s="40"/>
      <c r="EW40" s="40"/>
      <c r="EX40" s="40"/>
      <c r="EY40" s="40"/>
      <c r="EZ40" s="40"/>
      <c r="FA40" s="40"/>
      <c r="FB40" s="40"/>
      <c r="FC40" s="40"/>
      <c r="FD40" s="40"/>
      <c r="FE40" s="40"/>
      <c r="FF40" s="40"/>
      <c r="FG40" s="40"/>
      <c r="FH40" s="40"/>
      <c r="FI40" s="40"/>
      <c r="FJ40" s="40"/>
      <c r="FK40" s="40"/>
      <c r="FL40" s="40"/>
      <c r="FM40" s="40"/>
      <c r="FN40" s="40"/>
      <c r="FO40" s="40"/>
    </row>
    <row r="41" spans="2:171" s="34" customFormat="1" ht="15" customHeight="1">
      <c r="B41" s="37" t="s">
        <v>170</v>
      </c>
      <c r="C41" s="34">
        <f>(3+2/60+17/3600)</f>
        <v>3.0380555555555553</v>
      </c>
      <c r="D41" s="34">
        <f>4+5.2/60</f>
        <v>4.0866666666666669</v>
      </c>
      <c r="E41" s="38">
        <f>MOD(360-(C41+((3.075+1.336*SIN(RADIANS(C41))*TAN(RADIANS(D41)))*(OBSERVATIONS!$U$35-36526)/365)/3600)*15,360)</f>
        <v>314.12513390758249</v>
      </c>
      <c r="F41" s="38">
        <f>D41+(20.04*COS(RADIANS(C41*15))*(OBSERVATIONS!$U$35-36526)/365)/3600</f>
        <v>4.1789838561410972</v>
      </c>
      <c r="G41" s="38">
        <f>-17.3*SIN(RADIANS(125-0.05295*(OBSERVATIONS!$U$35-2451545)))-1.4*SIN(RADIANS(200+1.97129*(OBSERVATIONS!$U$35-2451545)))</f>
        <v>-15.507213434549312</v>
      </c>
      <c r="H41" s="38">
        <f>9.4*COS(RADIANS(125-0.05295*(OBSERVATIONS!$U$35-2451545)))+0.7*COS(RADIANS(200+1.97129*(OBSERVATIONS!$U$35-2451545)))</f>
        <v>-2.1041300782981658</v>
      </c>
      <c r="I41" s="41">
        <f t="shared" si="250"/>
        <v>314.12532067949041</v>
      </c>
      <c r="J41" s="41">
        <f t="shared" si="251"/>
        <v>4.1777533499727504</v>
      </c>
      <c r="L41" s="39"/>
      <c r="N41" s="40"/>
      <c r="O41" s="42" t="s">
        <v>165</v>
      </c>
      <c r="P41" s="40">
        <v>0</v>
      </c>
      <c r="Q41" s="40"/>
      <c r="R41" s="40"/>
      <c r="S41" s="40"/>
      <c r="T41" s="40"/>
      <c r="U41" s="40"/>
      <c r="V41" s="40"/>
      <c r="W41" s="40"/>
      <c r="X41" s="40"/>
      <c r="Y41" s="40">
        <f>MOD(V$4+OBSERVATIONS!$AO$13+I36,360)</f>
        <v>140.95702631426838</v>
      </c>
      <c r="Z41" s="40">
        <f t="shared" si="260"/>
        <v>140.95702631426838</v>
      </c>
      <c r="AA41" s="40">
        <f t="shared" si="247"/>
        <v>-60.47843868285171</v>
      </c>
      <c r="AB41" s="40">
        <f t="shared" si="261"/>
        <v>1</v>
      </c>
      <c r="AC41" s="40">
        <f>ABS(TAN(RADIANS(ABS(OBSERVATIONS!$AO$12)))/TAN(RADIANS(ABS(Z41))))</f>
        <v>1.7989618539425929</v>
      </c>
      <c r="AD41" s="40">
        <f>IF(AB41=0,IF(OBSERVATIONS!$AY$35="N",-AC41,AC41),IF(OBSERVATIONS!$AY$35="N",AC41,-AC41))</f>
        <v>1.7989618539425929</v>
      </c>
      <c r="AE41" s="40">
        <f t="shared" si="262"/>
        <v>-2.8035155113151098</v>
      </c>
      <c r="AF41" s="40">
        <f t="shared" si="263"/>
        <v>-1.0045536573725169</v>
      </c>
      <c r="AG41" s="40">
        <f>ABS(DEGREES(ATAN(1/(COS(RADIANS(ABS(OBSERVATIONS!$AO$12)))*AF41))))</f>
        <v>60.40665749779982</v>
      </c>
      <c r="AH41" s="40">
        <f t="shared" si="264"/>
        <v>240.40665749779981</v>
      </c>
      <c r="AI41" s="40">
        <f>AA41-OBSERVATIONS!$AO$12</f>
        <v>-116.05177201618504</v>
      </c>
      <c r="AJ41" s="44">
        <f>DEGREES(ASIN(SIN(RADIANS(OBSERVATIONS!$AO$12))*SIN(RADIANS(AA41))+COS(RADIANS(OBSERVATIONS!$AO$12))*COS(RADIANS(AA41))*COS(RADIANS(Y41))))</f>
        <v>-69.087087770662507</v>
      </c>
      <c r="AK41" s="44">
        <f t="shared" si="265"/>
        <v>-69.087087770662507</v>
      </c>
      <c r="AL41" s="37" t="s">
        <v>165</v>
      </c>
      <c r="AM41" s="44">
        <f t="shared" si="266"/>
        <v>240.40665749779981</v>
      </c>
      <c r="AN41" s="44">
        <f t="shared" si="267"/>
        <v>-69.087087770662507</v>
      </c>
      <c r="AO41" s="44"/>
      <c r="AP41" s="44"/>
      <c r="AQ41" s="44"/>
      <c r="AR41" s="44"/>
      <c r="AS41" s="40"/>
      <c r="AT41" s="44"/>
      <c r="AU41" s="40"/>
      <c r="AV41" s="44"/>
      <c r="AW41" s="40"/>
      <c r="AX41" s="44"/>
      <c r="AY41" s="40"/>
      <c r="AZ41" s="40"/>
      <c r="BA41" s="40"/>
      <c r="BB41" s="40"/>
      <c r="BC41" s="40"/>
      <c r="BD41" s="41"/>
      <c r="BF41" s="41"/>
      <c r="BH41" s="41"/>
      <c r="BI41" s="41"/>
      <c r="BJ41" s="41"/>
      <c r="BK41" s="41"/>
      <c r="BL41" s="41"/>
      <c r="BN41" s="41"/>
      <c r="BO41" s="41"/>
      <c r="BP41" s="41"/>
      <c r="BQ41" s="41"/>
      <c r="BX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L41" s="41"/>
      <c r="CM41" s="41"/>
      <c r="CN41" s="41"/>
      <c r="CO41" s="41"/>
      <c r="CP41" s="41"/>
      <c r="CR41" s="41"/>
      <c r="CS41" s="41"/>
      <c r="CT41" s="41"/>
      <c r="CU41" s="41"/>
      <c r="CV41" s="41"/>
      <c r="CW41" s="40"/>
      <c r="CX41" s="40"/>
      <c r="CY41" s="44"/>
      <c r="CZ41" s="40"/>
      <c r="DA41" s="40"/>
      <c r="DB41" s="40"/>
      <c r="DC41" s="40"/>
      <c r="DD41" s="47"/>
      <c r="DE41" s="47"/>
      <c r="DF41" s="47"/>
      <c r="DG41" s="48"/>
      <c r="DH41" s="47"/>
      <c r="DI41" s="47"/>
      <c r="DJ41" s="47"/>
      <c r="DK41" s="47"/>
      <c r="DL41" s="47"/>
      <c r="DM41" s="47"/>
      <c r="DN41" s="47"/>
      <c r="DO41" s="47"/>
      <c r="DP41" s="47"/>
      <c r="DQ41" s="47"/>
      <c r="DR41" s="47"/>
      <c r="DS41" s="47"/>
      <c r="DT41" s="47"/>
      <c r="DU41" s="47"/>
      <c r="DV41" s="47"/>
      <c r="DW41" s="47"/>
      <c r="DX41" s="47"/>
      <c r="DY41" s="47"/>
      <c r="DZ41" s="47"/>
      <c r="EA41" s="47"/>
      <c r="EB41" s="40"/>
      <c r="EC41" s="40"/>
      <c r="ED41" s="40"/>
      <c r="EE41" s="40"/>
      <c r="EF41" s="40"/>
      <c r="EG41" s="40"/>
      <c r="EH41" s="40"/>
      <c r="EI41" s="40"/>
      <c r="EJ41" s="40"/>
      <c r="EK41" s="40"/>
      <c r="EL41" s="40"/>
      <c r="EM41" s="40"/>
      <c r="EN41" s="40"/>
      <c r="EO41" s="40"/>
      <c r="EP41" s="40"/>
      <c r="EQ41" s="40"/>
      <c r="ER41" s="40"/>
      <c r="ES41" s="40"/>
      <c r="ET41" s="40"/>
      <c r="EU41" s="40"/>
      <c r="EV41" s="40"/>
      <c r="EW41" s="40"/>
      <c r="EX41" s="40"/>
      <c r="EY41" s="40"/>
      <c r="EZ41" s="40"/>
      <c r="FA41" s="40"/>
      <c r="FB41" s="40"/>
      <c r="FC41" s="40"/>
      <c r="FD41" s="40"/>
      <c r="FE41" s="40"/>
      <c r="FF41" s="40"/>
      <c r="FG41" s="40"/>
      <c r="FH41" s="40"/>
      <c r="FI41" s="40"/>
      <c r="FJ41" s="40"/>
      <c r="FK41" s="40"/>
      <c r="FL41" s="40"/>
      <c r="FM41" s="40"/>
      <c r="FN41" s="40"/>
      <c r="FO41" s="40"/>
    </row>
    <row r="42" spans="2:171" s="34" customFormat="1" ht="15" customHeight="1">
      <c r="B42" s="37" t="s">
        <v>171</v>
      </c>
      <c r="C42" s="34">
        <f>(14+6/60+40/3600)</f>
        <v>14.111111111111111</v>
      </c>
      <c r="D42" s="34">
        <f>-36-21.9/60</f>
        <v>-36.365000000000002</v>
      </c>
      <c r="E42" s="38">
        <f>MOD(360-(C42+((3.075+1.336*SIN(RADIANS(C42))*TAN(RADIANS(D42)))*(OBSERVATIONS!$U$35-36526)/365)/3600)*15,360)</f>
        <v>148.05347408582114</v>
      </c>
      <c r="F42" s="38">
        <f>D42+(20.04*COS(RADIANS(C42*15))*(OBSERVATIONS!$U$35-36526)/365)/3600</f>
        <v>-36.477242390841646</v>
      </c>
      <c r="G42" s="38">
        <f>-17.3*SIN(RADIANS(125-0.05295*(OBSERVATIONS!$U$35-2451545)))-1.4*SIN(RADIANS(200+1.97129*(OBSERVATIONS!$U$35-2451545)))</f>
        <v>-15.507213434549312</v>
      </c>
      <c r="H42" s="38">
        <f>9.4*COS(RADIANS(125-0.05295*(OBSERVATIONS!$U$35-2451545)))+0.7*COS(RADIANS(200+1.97129*(OBSERVATIONS!$U$35-2451545)))</f>
        <v>-2.1041300782981658</v>
      </c>
      <c r="I42" s="41">
        <f t="shared" si="250"/>
        <v>148.05479616984593</v>
      </c>
      <c r="J42" s="41">
        <f t="shared" si="251"/>
        <v>-36.475926460519851</v>
      </c>
      <c r="L42" s="39"/>
      <c r="N42" s="40"/>
      <c r="O42" s="42" t="s">
        <v>166</v>
      </c>
      <c r="P42" s="40">
        <v>0</v>
      </c>
      <c r="Q42" s="40"/>
      <c r="R42" s="40"/>
      <c r="S42" s="40"/>
      <c r="T42" s="40"/>
      <c r="U42" s="40"/>
      <c r="V42" s="40"/>
      <c r="W42" s="40"/>
      <c r="X42" s="40"/>
      <c r="Y42" s="40">
        <f>MOD(V$4+OBSERVATIONS!$AO$13+I37,360)</f>
        <v>320.05551273880224</v>
      </c>
      <c r="Z42" s="40">
        <f t="shared" si="260"/>
        <v>39.944487261197764</v>
      </c>
      <c r="AA42" s="40">
        <f t="shared" si="247"/>
        <v>23.573946337866282</v>
      </c>
      <c r="AB42" s="40">
        <f t="shared" si="261"/>
        <v>0</v>
      </c>
      <c r="AC42" s="40">
        <f>ABS(TAN(RADIANS(ABS(OBSERVATIONS!$AO$12)))/TAN(RADIANS(ABS(Z42))))</f>
        <v>1.7422009219180796</v>
      </c>
      <c r="AD42" s="40">
        <f>IF(AB42=0,IF(OBSERVATIONS!$AY$35="N",-AC42,AC42),IF(OBSERVATIONS!$AY$35="N",AC42,-AC42))</f>
        <v>-1.7422009219180796</v>
      </c>
      <c r="AE42" s="40">
        <f t="shared" si="262"/>
        <v>0.67962180081143342</v>
      </c>
      <c r="AF42" s="40">
        <f t="shared" si="263"/>
        <v>-1.0625791211066462</v>
      </c>
      <c r="AG42" s="40">
        <f>ABS(DEGREES(ATAN(1/(COS(RADIANS(ABS(OBSERVATIONS!$AO$12)))*AF42))))</f>
        <v>59.005493372497007</v>
      </c>
      <c r="AH42" s="40">
        <f t="shared" si="264"/>
        <v>120.994506627503</v>
      </c>
      <c r="AI42" s="40">
        <f>AA42-OBSERVATIONS!$AO$12</f>
        <v>-31.999386995467049</v>
      </c>
      <c r="AJ42" s="44">
        <f>DEGREES(ASIN(SIN(RADIANS(OBSERVATIONS!$AO$12))*SIN(RADIANS(AA42))+COS(RADIANS(OBSERVATIONS!$AO$12))*COS(RADIANS(AA42))*COS(RADIANS(Y42))))</f>
        <v>46.647803200707543</v>
      </c>
      <c r="AK42" s="44">
        <f t="shared" si="265"/>
        <v>46.647803200707543</v>
      </c>
      <c r="AL42" s="37" t="s">
        <v>166</v>
      </c>
      <c r="AM42" s="44">
        <f t="shared" si="266"/>
        <v>120.994506627503</v>
      </c>
      <c r="AN42" s="44">
        <f t="shared" si="267"/>
        <v>46.647803200707543</v>
      </c>
      <c r="AO42" s="44"/>
      <c r="AP42" s="44"/>
      <c r="AQ42" s="44"/>
      <c r="AR42" s="44"/>
      <c r="AS42" s="40"/>
      <c r="AT42" s="44"/>
      <c r="AU42" s="40"/>
      <c r="AV42" s="44"/>
      <c r="AW42" s="40"/>
      <c r="AX42" s="44"/>
      <c r="AY42" s="40"/>
      <c r="AZ42" s="40"/>
      <c r="BA42" s="40"/>
      <c r="BB42" s="40"/>
      <c r="BC42" s="40"/>
      <c r="BD42" s="41"/>
      <c r="BF42" s="41"/>
      <c r="BH42" s="41"/>
      <c r="BI42" s="41"/>
      <c r="BJ42" s="41"/>
      <c r="BK42" s="41"/>
      <c r="BL42" s="41"/>
      <c r="BN42" s="41"/>
      <c r="BO42" s="41"/>
      <c r="BP42" s="41"/>
      <c r="BQ42" s="41"/>
      <c r="BX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L42" s="41"/>
      <c r="CM42" s="41"/>
      <c r="CN42" s="41"/>
      <c r="CO42" s="41"/>
      <c r="CP42" s="41"/>
      <c r="CR42" s="41"/>
      <c r="CS42" s="41"/>
      <c r="CT42" s="41"/>
      <c r="CU42" s="41"/>
      <c r="CV42" s="41"/>
      <c r="CW42" s="40"/>
      <c r="CX42" s="40"/>
      <c r="CY42" s="44"/>
      <c r="CZ42" s="40"/>
      <c r="DA42" s="40"/>
      <c r="DB42" s="40"/>
      <c r="DC42" s="40"/>
      <c r="DD42" s="47"/>
      <c r="DE42" s="47"/>
      <c r="DF42" s="47"/>
      <c r="DG42" s="48"/>
      <c r="DH42" s="47"/>
      <c r="DI42" s="47"/>
      <c r="DJ42" s="47"/>
      <c r="DK42" s="47"/>
      <c r="DL42" s="47"/>
      <c r="DM42" s="47"/>
      <c r="DN42" s="47"/>
      <c r="DO42" s="47"/>
      <c r="DP42" s="47"/>
      <c r="DQ42" s="47"/>
      <c r="DR42" s="47"/>
      <c r="DS42" s="47"/>
      <c r="DT42" s="47"/>
      <c r="DU42" s="47"/>
      <c r="DV42" s="47"/>
      <c r="DW42" s="47"/>
      <c r="DX42" s="47"/>
      <c r="DY42" s="47"/>
      <c r="DZ42" s="47"/>
      <c r="EA42" s="47"/>
      <c r="EB42" s="40"/>
      <c r="EC42" s="40"/>
      <c r="ED42" s="40"/>
      <c r="EE42" s="40"/>
      <c r="EF42" s="40"/>
      <c r="EG42" s="40"/>
      <c r="EH42" s="40"/>
      <c r="EI42" s="40"/>
      <c r="EJ42" s="40"/>
      <c r="EK42" s="40"/>
      <c r="EL42" s="40"/>
      <c r="EM42" s="40"/>
      <c r="EN42" s="40"/>
      <c r="EO42" s="40"/>
      <c r="EP42" s="40"/>
      <c r="EQ42" s="40"/>
      <c r="ER42" s="40"/>
      <c r="ES42" s="40"/>
      <c r="ET42" s="40"/>
      <c r="EU42" s="40"/>
      <c r="EV42" s="40"/>
      <c r="EW42" s="40"/>
      <c r="EX42" s="40"/>
      <c r="EY42" s="40"/>
      <c r="EZ42" s="40"/>
      <c r="FA42" s="40"/>
      <c r="FB42" s="40"/>
      <c r="FC42" s="40"/>
      <c r="FD42" s="40"/>
      <c r="FE42" s="40"/>
      <c r="FF42" s="40"/>
      <c r="FG42" s="40"/>
      <c r="FH42" s="40"/>
      <c r="FI42" s="40"/>
      <c r="FJ42" s="40"/>
      <c r="FK42" s="40"/>
      <c r="FL42" s="40"/>
      <c r="FM42" s="40"/>
      <c r="FN42" s="40"/>
      <c r="FO42" s="40"/>
    </row>
    <row r="43" spans="2:171" s="34" customFormat="1" ht="15" customHeight="1">
      <c r="B43" s="37" t="s">
        <v>172</v>
      </c>
      <c r="C43" s="34">
        <f>(9+13/60+16/3600)</f>
        <v>9.2211111111111119</v>
      </c>
      <c r="D43" s="34">
        <f>-69-42.8/60</f>
        <v>-69.713333333333338</v>
      </c>
      <c r="E43" s="38">
        <f>MOD(360-(C43+((3.075+1.336*SIN(RADIANS(C43))*TAN(RADIANS(D43)))*(OBSERVATIONS!$U$35-36526)/365)/3600)*15,360)</f>
        <v>221.4369695463586</v>
      </c>
      <c r="F43" s="38">
        <f>D43+(20.04*COS(RADIANS(C43*15))*(OBSERVATIONS!$U$35-36526)/365)/3600</f>
        <v>-69.811822968897104</v>
      </c>
      <c r="G43" s="38">
        <f>-17.3*SIN(RADIANS(125-0.05295*(OBSERVATIONS!$U$35-2451545)))-1.4*SIN(RADIANS(200+1.97129*(OBSERVATIONS!$U$35-2451545)))</f>
        <v>-15.507213434549312</v>
      </c>
      <c r="H43" s="38">
        <f>9.4*COS(RADIANS(125-0.05295*(OBSERVATIONS!$U$35-2451545)))+0.7*COS(RADIANS(200+1.97129*(OBSERVATIONS!$U$35-2451545)))</f>
        <v>-2.1041300782981658</v>
      </c>
      <c r="I43" s="41">
        <f t="shared" si="250"/>
        <v>221.43882523145669</v>
      </c>
      <c r="J43" s="41">
        <f t="shared" si="251"/>
        <v>-69.810636897715312</v>
      </c>
      <c r="L43" s="39"/>
      <c r="N43" s="40"/>
      <c r="O43" s="42" t="s">
        <v>4</v>
      </c>
      <c r="P43" s="40">
        <v>1</v>
      </c>
      <c r="Q43" s="40">
        <f>GZ4</f>
        <v>301.84156779898655</v>
      </c>
      <c r="R43" s="40">
        <f>GZ5</f>
        <v>319.48061103312858</v>
      </c>
      <c r="S43" s="40">
        <f>GZ6</f>
        <v>314.37570036566927</v>
      </c>
      <c r="T43" s="40">
        <f>GY4</f>
        <v>15.238163485366405</v>
      </c>
      <c r="U43" s="40">
        <f>GY5</f>
        <v>8.3432551032155473</v>
      </c>
      <c r="V43" s="40">
        <f>GY6</f>
        <v>15.238075226655301</v>
      </c>
      <c r="W43" s="40"/>
      <c r="X43" s="40"/>
      <c r="Y43" s="40">
        <f>MOD(Q43+OBSERVATIONS!$AO$13,360)</f>
        <v>308.62490113231991</v>
      </c>
      <c r="Z43" s="40">
        <f t="shared" si="260"/>
        <v>51.375098867680094</v>
      </c>
      <c r="AA43" s="40">
        <f>T43</f>
        <v>15.238163485366405</v>
      </c>
      <c r="AB43" s="40">
        <f t="shared" si="261"/>
        <v>0</v>
      </c>
      <c r="AC43" s="40">
        <f>ABS(TAN(RADIANS(ABS(OBSERVATIONS!$AO$12)))/TAN(RADIANS(ABS(Z43))))</f>
        <v>1.1657477396764344</v>
      </c>
      <c r="AD43" s="40">
        <f>IF(AB43=0,IF(OBSERVATIONS!$AY$35="N",-AC43,AC43),IF(OBSERVATIONS!$AY$35="N",AC43,-AC43))</f>
        <v>-1.1657477396764344</v>
      </c>
      <c r="AE43" s="40">
        <f t="shared" si="262"/>
        <v>0.34868431667307187</v>
      </c>
      <c r="AF43" s="40">
        <f t="shared" si="263"/>
        <v>-0.81706342300336254</v>
      </c>
      <c r="AG43" s="40">
        <f>ABS(DEGREES(ATAN(1/(COS(RADIANS(ABS(OBSERVATIONS!$AO$12)))*AF43))))</f>
        <v>65.206481711412337</v>
      </c>
      <c r="AH43" s="40">
        <f t="shared" si="264"/>
        <v>114.79351828858766</v>
      </c>
      <c r="AI43" s="40">
        <f>AA43-OBSERVATIONS!$AO$12</f>
        <v>-40.335169847966924</v>
      </c>
      <c r="AJ43" s="44">
        <f>DEGREES(ASIN(SIN(RADIANS(OBSERVATIONS!$AO$12))*SIN(RADIANS(AA43))+COS(RADIANS(OBSERVATIONS!$AO$12))*COS(RADIANS(AA43))*COS(RADIANS(Y43))))</f>
        <v>33.868758534604481</v>
      </c>
      <c r="AK43" s="44">
        <f t="shared" si="265"/>
        <v>33.868758534604481</v>
      </c>
      <c r="AL43" s="37" t="s">
        <v>4</v>
      </c>
      <c r="AM43" s="44">
        <f t="shared" si="266"/>
        <v>114.79351828858766</v>
      </c>
      <c r="AN43" s="44">
        <f t="shared" si="267"/>
        <v>33.868758534604481</v>
      </c>
      <c r="AO43" s="44"/>
      <c r="AP43" s="44"/>
      <c r="AQ43" s="44"/>
      <c r="AR43" s="44"/>
      <c r="AS43" s="40"/>
      <c r="AT43" s="44"/>
      <c r="AU43" s="40"/>
      <c r="AV43" s="44"/>
      <c r="AW43" s="40"/>
      <c r="AX43" s="44"/>
      <c r="AY43" s="40"/>
      <c r="AZ43" s="40"/>
      <c r="BA43" s="40"/>
      <c r="BB43" s="40"/>
      <c r="BC43" s="40"/>
      <c r="BD43" s="41"/>
      <c r="BF43" s="41"/>
      <c r="BH43" s="41"/>
      <c r="BI43" s="41"/>
      <c r="BJ43" s="41"/>
      <c r="BK43" s="41"/>
      <c r="BL43" s="41"/>
      <c r="BN43" s="41"/>
      <c r="BO43" s="41"/>
      <c r="BP43" s="41"/>
      <c r="BQ43" s="41"/>
      <c r="BX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L43" s="41"/>
      <c r="CM43" s="41"/>
      <c r="CN43" s="41"/>
      <c r="CO43" s="41"/>
      <c r="CP43" s="41"/>
      <c r="CR43" s="41"/>
      <c r="CS43" s="41"/>
      <c r="CT43" s="41"/>
      <c r="CU43" s="41"/>
      <c r="CV43" s="41"/>
      <c r="CW43" s="40"/>
      <c r="CX43" s="40"/>
      <c r="CY43" s="44"/>
      <c r="CZ43" s="40"/>
      <c r="DA43" s="40"/>
      <c r="DB43" s="40"/>
      <c r="DC43" s="40"/>
      <c r="DD43" s="47"/>
      <c r="DE43" s="47"/>
      <c r="DF43" s="47"/>
      <c r="DG43" s="48"/>
      <c r="DH43" s="47"/>
      <c r="DI43" s="47"/>
      <c r="DJ43" s="47"/>
      <c r="DK43" s="47"/>
      <c r="DL43" s="47"/>
      <c r="DM43" s="47"/>
      <c r="DN43" s="47"/>
      <c r="DO43" s="47"/>
      <c r="DP43" s="47"/>
      <c r="DQ43" s="47"/>
      <c r="DR43" s="47"/>
      <c r="DS43" s="47"/>
      <c r="DT43" s="47"/>
      <c r="DU43" s="47"/>
      <c r="DV43" s="47"/>
      <c r="DW43" s="47"/>
      <c r="DX43" s="47"/>
      <c r="DY43" s="47"/>
      <c r="DZ43" s="47"/>
      <c r="EA43" s="47"/>
      <c r="EB43" s="40"/>
      <c r="EC43" s="40"/>
      <c r="ED43" s="40"/>
      <c r="EE43" s="40"/>
      <c r="EF43" s="40"/>
      <c r="EG43" s="40"/>
      <c r="EH43" s="40"/>
      <c r="EI43" s="40"/>
      <c r="EJ43" s="40"/>
      <c r="EK43" s="40"/>
      <c r="EL43" s="40"/>
      <c r="EM43" s="40"/>
      <c r="EN43" s="40"/>
      <c r="EO43" s="40"/>
      <c r="EP43" s="40"/>
      <c r="EQ43" s="40"/>
      <c r="ER43" s="40"/>
      <c r="ES43" s="40"/>
      <c r="ET43" s="40"/>
      <c r="EU43" s="40"/>
      <c r="EV43" s="40"/>
      <c r="EW43" s="40"/>
      <c r="EX43" s="40"/>
      <c r="EY43" s="40"/>
      <c r="EZ43" s="40"/>
      <c r="FA43" s="40"/>
      <c r="FB43" s="40"/>
      <c r="FC43" s="40"/>
      <c r="FD43" s="40"/>
      <c r="FE43" s="40"/>
      <c r="FF43" s="40"/>
      <c r="FG43" s="40"/>
      <c r="FH43" s="40"/>
      <c r="FI43" s="40"/>
      <c r="FJ43" s="40"/>
      <c r="FK43" s="40"/>
      <c r="FL43" s="40"/>
      <c r="FM43" s="40"/>
      <c r="FN43" s="40"/>
      <c r="FO43" s="40"/>
    </row>
    <row r="44" spans="2:171" s="34" customFormat="1" ht="15" customHeight="1">
      <c r="B44" s="37" t="s">
        <v>173</v>
      </c>
      <c r="C44" s="34">
        <f>(3+24/60+20/3600)</f>
        <v>3.4055555555555554</v>
      </c>
      <c r="D44" s="34">
        <f>49+51.7/60</f>
        <v>49.861666666666665</v>
      </c>
      <c r="E44" s="38">
        <f>MOD(360-(C44+((3.075+1.336*SIN(RADIANS(C44))*TAN(RADIANS(D44)))*(OBSERVATIONS!$U$35-36526)/365)/3600)*15,360)</f>
        <v>308.60384285689929</v>
      </c>
      <c r="F44" s="38">
        <f>D44+(20.04*COS(RADIANS(C44*15))*(OBSERVATIONS!$U$35-36526)/365)/3600</f>
        <v>49.944510163782013</v>
      </c>
      <c r="G44" s="38">
        <f>-17.3*SIN(RADIANS(125-0.05295*(OBSERVATIONS!$U$35-2451545)))-1.4*SIN(RADIANS(200+1.97129*(OBSERVATIONS!$U$35-2451545)))</f>
        <v>-15.507213434549312</v>
      </c>
      <c r="H44" s="38">
        <f>9.4*COS(RADIANS(125-0.05295*(OBSERVATIONS!$U$35-2451545)))+0.7*COS(RADIANS(200+1.97129*(OBSERVATIONS!$U$35-2451545)))</f>
        <v>-2.1041300782981658</v>
      </c>
      <c r="I44" s="41">
        <f t="shared" si="250"/>
        <v>308.60304055996875</v>
      </c>
      <c r="J44" s="41">
        <f t="shared" si="251"/>
        <v>49.943399011648744</v>
      </c>
      <c r="L44" s="39"/>
      <c r="N44" s="40"/>
      <c r="O44" s="42" t="s">
        <v>167</v>
      </c>
      <c r="P44" s="40">
        <v>0</v>
      </c>
      <c r="Q44" s="40"/>
      <c r="R44" s="40"/>
      <c r="S44" s="40"/>
      <c r="T44" s="40"/>
      <c r="U44" s="40"/>
      <c r="V44" s="40"/>
      <c r="W44" s="40"/>
      <c r="X44" s="40"/>
      <c r="Y44" s="40">
        <f>MOD(V$4+OBSERVATIONS!$AO$13+I38,360)</f>
        <v>75.84850369035928</v>
      </c>
      <c r="Z44" s="40">
        <f t="shared" si="260"/>
        <v>75.84850369035928</v>
      </c>
      <c r="AA44" s="40">
        <f t="shared" ref="AA44" si="268">J38</f>
        <v>-34.369846201459346</v>
      </c>
      <c r="AB44" s="40">
        <f t="shared" si="261"/>
        <v>0</v>
      </c>
      <c r="AC44" s="40">
        <f>ABS(TAN(RADIANS(ABS(OBSERVATIONS!$AO$12)))/TAN(RADIANS(ABS(Z44))))</f>
        <v>0.36787135596646525</v>
      </c>
      <c r="AD44" s="40">
        <f>IF(AB44=0,IF(OBSERVATIONS!$AY$35="N",-AC44,AC44),IF(OBSERVATIONS!$AY$35="N",AC44,-AC44))</f>
        <v>-0.36787135596646525</v>
      </c>
      <c r="AE44" s="40">
        <f t="shared" si="262"/>
        <v>-0.70534694489549044</v>
      </c>
      <c r="AF44" s="40">
        <f t="shared" si="263"/>
        <v>-1.0732183008619556</v>
      </c>
      <c r="AG44" s="40">
        <f>ABS(DEGREES(ATAN(1/(COS(RADIANS(ABS(OBSERVATIONS!$AO$12)))*AF44))))</f>
        <v>58.752926872478021</v>
      </c>
      <c r="AH44" s="40">
        <f t="shared" si="264"/>
        <v>238.75292687247801</v>
      </c>
      <c r="AI44" s="40">
        <f>AA44-OBSERVATIONS!$AO$12</f>
        <v>-89.943179534792677</v>
      </c>
      <c r="AJ44" s="44">
        <f>DEGREES(ASIN(SIN(RADIANS(OBSERVATIONS!$AO$12))*SIN(RADIANS(AA44))+COS(RADIANS(OBSERVATIONS!$AO$12))*COS(RADIANS(AA44))*COS(RADIANS(Y44))))</f>
        <v>-20.58313838301957</v>
      </c>
      <c r="AK44" s="44">
        <f t="shared" si="265"/>
        <v>-20.58313838301957</v>
      </c>
      <c r="AL44" s="37" t="s">
        <v>167</v>
      </c>
      <c r="AM44" s="44">
        <f t="shared" si="266"/>
        <v>238.75292687247801</v>
      </c>
      <c r="AN44" s="44">
        <f t="shared" si="267"/>
        <v>-20.58313838301957</v>
      </c>
      <c r="AO44" s="44"/>
      <c r="AP44" s="44"/>
      <c r="AQ44" s="44"/>
      <c r="AR44" s="44"/>
      <c r="AS44" s="40"/>
      <c r="AT44" s="44"/>
      <c r="AU44" s="40"/>
      <c r="AV44" s="44"/>
      <c r="AW44" s="40"/>
      <c r="AX44" s="44"/>
      <c r="AY44" s="40"/>
      <c r="AZ44" s="40"/>
      <c r="BA44" s="40"/>
      <c r="BB44" s="40"/>
      <c r="BC44" s="40"/>
      <c r="BD44" s="41"/>
      <c r="BF44" s="41"/>
      <c r="BH44" s="41"/>
      <c r="BI44" s="41"/>
      <c r="BJ44" s="41"/>
      <c r="BK44" s="41"/>
      <c r="BL44" s="41"/>
      <c r="BN44" s="41"/>
      <c r="BO44" s="41"/>
      <c r="BP44" s="41"/>
      <c r="BQ44" s="41"/>
      <c r="BX44" s="41"/>
      <c r="BZ44" s="41"/>
      <c r="CA44" s="41"/>
      <c r="CB44" s="41"/>
      <c r="CC44" s="41"/>
      <c r="CD44" s="41"/>
      <c r="CE44" s="41"/>
      <c r="CF44" s="41"/>
      <c r="CG44" s="41"/>
      <c r="CH44" s="41"/>
      <c r="CI44" s="41"/>
      <c r="CJ44" s="41"/>
      <c r="CL44" s="41"/>
      <c r="CM44" s="41"/>
      <c r="CN44" s="41"/>
      <c r="CO44" s="41"/>
      <c r="CP44" s="41"/>
      <c r="CR44" s="41"/>
      <c r="CS44" s="41"/>
      <c r="CT44" s="41"/>
      <c r="CU44" s="41"/>
      <c r="CV44" s="41"/>
      <c r="CW44" s="40"/>
      <c r="CX44" s="40"/>
      <c r="CY44" s="44"/>
      <c r="CZ44" s="40"/>
      <c r="DA44" s="40"/>
      <c r="DB44" s="40"/>
      <c r="DC44" s="40"/>
      <c r="DD44" s="47"/>
      <c r="DE44" s="47"/>
      <c r="DF44" s="47"/>
      <c r="DG44" s="48"/>
      <c r="DH44" s="47"/>
      <c r="DI44" s="47"/>
      <c r="DJ44" s="47"/>
      <c r="DK44" s="47"/>
      <c r="DL44" s="47"/>
      <c r="DM44" s="47"/>
      <c r="DN44" s="47"/>
      <c r="DO44" s="47"/>
      <c r="DP44" s="47"/>
      <c r="DQ44" s="47"/>
      <c r="DR44" s="47"/>
      <c r="DS44" s="47"/>
      <c r="DT44" s="47"/>
      <c r="DU44" s="47"/>
      <c r="DV44" s="47"/>
      <c r="DW44" s="47"/>
      <c r="DX44" s="47"/>
      <c r="DY44" s="47"/>
      <c r="DZ44" s="47"/>
      <c r="EA44" s="47"/>
      <c r="EB44" s="40"/>
      <c r="EC44" s="40"/>
      <c r="ED44" s="40"/>
      <c r="EE44" s="40"/>
      <c r="EF44" s="40"/>
      <c r="EG44" s="40"/>
      <c r="EH44" s="40"/>
      <c r="EI44" s="40"/>
      <c r="EJ44" s="40"/>
      <c r="EK44" s="40"/>
      <c r="EL44" s="40"/>
      <c r="EM44" s="40"/>
      <c r="EN44" s="40"/>
      <c r="EO44" s="40"/>
      <c r="EP44" s="40"/>
      <c r="EQ44" s="40"/>
      <c r="ER44" s="40"/>
      <c r="ES44" s="40"/>
      <c r="ET44" s="40"/>
      <c r="EU44" s="40"/>
      <c r="EV44" s="40"/>
      <c r="EW44" s="40"/>
      <c r="EX44" s="40"/>
      <c r="EY44" s="40"/>
      <c r="EZ44" s="40"/>
      <c r="FA44" s="40"/>
      <c r="FB44" s="40"/>
      <c r="FC44" s="40"/>
      <c r="FD44" s="40"/>
      <c r="FE44" s="40"/>
      <c r="FF44" s="40"/>
      <c r="FG44" s="40"/>
      <c r="FH44" s="40"/>
      <c r="FI44" s="40"/>
      <c r="FJ44" s="40"/>
      <c r="FK44" s="40"/>
      <c r="FL44" s="40"/>
      <c r="FM44" s="40"/>
      <c r="FN44" s="40"/>
      <c r="FO44" s="40"/>
    </row>
    <row r="45" spans="2:171" s="34" customFormat="1" ht="15" customHeight="1">
      <c r="B45" s="37" t="s">
        <v>174</v>
      </c>
      <c r="C45" s="34">
        <f>(18+55/60+13/3600)</f>
        <v>18.92027777777778</v>
      </c>
      <c r="D45" s="34">
        <f>-26-17.7/60</f>
        <v>-26.295000000000002</v>
      </c>
      <c r="E45" s="38">
        <f>MOD(360-(C45+((3.075+1.336*SIN(RADIANS(C45))*TAN(RADIANS(D45)))*(OBSERVATIONS!$U$35-36526)/365)/3600)*15,360)</f>
        <v>75.913429245131624</v>
      </c>
      <c r="F45" s="38">
        <f>D45+(20.04*COS(RADIANS(C45*15))*(OBSERVATIONS!$U$35-36526)/365)/3600</f>
        <v>-26.263533700194706</v>
      </c>
      <c r="G45" s="38">
        <f>-17.3*SIN(RADIANS(125-0.05295*(OBSERVATIONS!$U$35-2451545)))-1.4*SIN(RADIANS(200+1.97129*(OBSERVATIONS!$U$35-2451545)))</f>
        <v>-15.507213434549312</v>
      </c>
      <c r="H45" s="38">
        <f>9.4*COS(RADIANS(125-0.05295*(OBSERVATIONS!$U$35-2451545)))+0.7*COS(RADIANS(200+1.97129*(OBSERVATIONS!$U$35-2451545)))</f>
        <v>-2.1041300782981658</v>
      </c>
      <c r="I45" s="41">
        <f t="shared" si="250"/>
        <v>75.914711274288081</v>
      </c>
      <c r="J45" s="41">
        <f t="shared" si="251"/>
        <v>-26.264132078651066</v>
      </c>
      <c r="L45" s="39"/>
      <c r="N45" s="40"/>
      <c r="O45" s="42" t="s">
        <v>168</v>
      </c>
      <c r="P45" s="40">
        <v>0</v>
      </c>
      <c r="Q45" s="40"/>
      <c r="R45" s="40"/>
      <c r="S45" s="40"/>
      <c r="T45" s="40"/>
      <c r="U45" s="40"/>
      <c r="V45" s="40"/>
      <c r="W45" s="40"/>
      <c r="X45" s="40"/>
      <c r="Y45" s="40">
        <f>MOD(V$4+OBSERVATIONS!$AO$13+I39,360)</f>
        <v>129.06490382868367</v>
      </c>
      <c r="Z45" s="40">
        <f t="shared" si="260"/>
        <v>129.06490382868367</v>
      </c>
      <c r="AA45" s="40">
        <f>J39</f>
        <v>74.057467098949928</v>
      </c>
      <c r="AB45" s="40">
        <f t="shared" si="261"/>
        <v>1</v>
      </c>
      <c r="AC45" s="40">
        <f>ABS(TAN(RADIANS(ABS(OBSERVATIONS!$AO$12)))/TAN(RADIANS(ABS(Z45))))</f>
        <v>1.1842188138480945</v>
      </c>
      <c r="AD45" s="40">
        <f>IF(AB45=0,IF(OBSERVATIONS!$AY$35="N",-AC45,AC45),IF(OBSERVATIONS!$AY$35="N",AC45,-AC45))</f>
        <v>1.1842188138480945</v>
      </c>
      <c r="AE45" s="40">
        <f t="shared" si="262"/>
        <v>4.5086493037328133</v>
      </c>
      <c r="AF45" s="40">
        <f t="shared" si="263"/>
        <v>5.6928681175809075</v>
      </c>
      <c r="AG45" s="40">
        <f>ABS(DEGREES(ATAN(1/(COS(RADIANS(ABS(OBSERVATIONS!$AO$12)))*AF45))))</f>
        <v>17.260374157619157</v>
      </c>
      <c r="AH45" s="40">
        <f t="shared" si="264"/>
        <v>342.73962584238086</v>
      </c>
      <c r="AI45" s="40">
        <f>AA45-OBSERVATIONS!$AO$12</f>
        <v>18.484133765616598</v>
      </c>
      <c r="AJ45" s="44">
        <f>DEGREES(ASIN(SIN(RADIANS(OBSERVATIONS!$AO$12))*SIN(RADIANS(AA45))+COS(RADIANS(OBSERVATIONS!$AO$12))*COS(RADIANS(AA45))*COS(RADIANS(Y45))))</f>
        <v>44.04818417175067</v>
      </c>
      <c r="AK45" s="44">
        <f t="shared" si="265"/>
        <v>44.04818417175067</v>
      </c>
      <c r="AL45" s="37" t="s">
        <v>168</v>
      </c>
      <c r="AM45" s="44">
        <f t="shared" si="266"/>
        <v>342.73962584238086</v>
      </c>
      <c r="AN45" s="44">
        <f t="shared" si="267"/>
        <v>44.04818417175067</v>
      </c>
      <c r="AO45" s="44"/>
      <c r="AP45" s="44"/>
      <c r="AQ45" s="44"/>
      <c r="AR45" s="44"/>
      <c r="AS45" s="40"/>
      <c r="AT45" s="44"/>
      <c r="AU45" s="40"/>
      <c r="AV45" s="44"/>
      <c r="AW45" s="40"/>
      <c r="AX45" s="44"/>
      <c r="AY45" s="40"/>
      <c r="AZ45" s="40"/>
      <c r="BA45" s="40"/>
      <c r="BB45" s="40"/>
      <c r="BC45" s="40"/>
      <c r="BD45" s="41"/>
      <c r="BF45" s="41"/>
      <c r="BH45" s="41"/>
      <c r="BI45" s="41"/>
      <c r="BJ45" s="41"/>
      <c r="BK45" s="41"/>
      <c r="BL45" s="41"/>
      <c r="BN45" s="41"/>
      <c r="BO45" s="41"/>
      <c r="BP45" s="41"/>
      <c r="BQ45" s="41"/>
      <c r="BX45" s="41"/>
      <c r="BZ45" s="41"/>
      <c r="CA45" s="41"/>
      <c r="CB45" s="41"/>
      <c r="CC45" s="41"/>
      <c r="CD45" s="41"/>
      <c r="CE45" s="41"/>
      <c r="CF45" s="41"/>
      <c r="CG45" s="41"/>
      <c r="CH45" s="41"/>
      <c r="CI45" s="41"/>
      <c r="CJ45" s="41"/>
      <c r="CL45" s="41"/>
      <c r="CM45" s="41"/>
      <c r="CN45" s="41"/>
      <c r="CO45" s="41"/>
      <c r="CP45" s="41"/>
      <c r="CR45" s="41"/>
      <c r="CS45" s="41"/>
      <c r="CT45" s="41"/>
      <c r="CU45" s="41"/>
      <c r="CV45" s="41"/>
      <c r="CW45" s="40"/>
      <c r="CX45" s="40"/>
      <c r="CY45" s="44"/>
      <c r="CZ45" s="40"/>
      <c r="DA45" s="40"/>
      <c r="DB45" s="40"/>
      <c r="DC45" s="40"/>
      <c r="DD45" s="47"/>
      <c r="DE45" s="47"/>
      <c r="DF45" s="47"/>
      <c r="DG45" s="48"/>
      <c r="DH45" s="47"/>
      <c r="DI45" s="47"/>
      <c r="DJ45" s="47"/>
      <c r="DK45" s="47"/>
      <c r="DL45" s="47"/>
      <c r="DM45" s="47"/>
      <c r="DN45" s="47"/>
      <c r="DO45" s="47"/>
      <c r="DP45" s="47"/>
      <c r="DQ45" s="47"/>
      <c r="DR45" s="47"/>
      <c r="DS45" s="47"/>
      <c r="DT45" s="47"/>
      <c r="DU45" s="47"/>
      <c r="DV45" s="47"/>
      <c r="DW45" s="47"/>
      <c r="DX45" s="47"/>
      <c r="DY45" s="47"/>
      <c r="DZ45" s="47"/>
      <c r="EA45" s="47"/>
      <c r="EB45" s="40"/>
      <c r="EC45" s="40"/>
      <c r="ED45" s="40"/>
      <c r="EE45" s="40"/>
      <c r="EF45" s="40"/>
      <c r="EG45" s="40"/>
      <c r="EH45" s="40"/>
      <c r="EI45" s="40"/>
      <c r="EJ45" s="40"/>
      <c r="EK45" s="40"/>
      <c r="EL45" s="40"/>
      <c r="EM45" s="40"/>
      <c r="EN45" s="40"/>
      <c r="EO45" s="40"/>
      <c r="EP45" s="40"/>
      <c r="EQ45" s="40"/>
      <c r="ER45" s="40"/>
      <c r="ES45" s="40"/>
      <c r="ET45" s="40"/>
      <c r="EU45" s="40"/>
      <c r="EV45" s="40"/>
      <c r="EW45" s="40"/>
      <c r="EX45" s="40"/>
      <c r="EY45" s="40"/>
      <c r="EZ45" s="40"/>
      <c r="FA45" s="40"/>
      <c r="FB45" s="40"/>
      <c r="FC45" s="40"/>
      <c r="FD45" s="40"/>
      <c r="FE45" s="40"/>
      <c r="FF45" s="40"/>
      <c r="FG45" s="40"/>
      <c r="FH45" s="40"/>
      <c r="FI45" s="40"/>
      <c r="FJ45" s="40"/>
      <c r="FK45" s="40"/>
      <c r="FL45" s="40"/>
      <c r="FM45" s="40"/>
      <c r="FN45" s="40"/>
      <c r="FO45" s="40"/>
    </row>
    <row r="46" spans="2:171" s="34" customFormat="1" ht="15" customHeight="1">
      <c r="B46" s="37" t="s">
        <v>175</v>
      </c>
      <c r="C46" s="34">
        <f>(20+25/60+35/3600)</f>
        <v>20.426388888888891</v>
      </c>
      <c r="D46" s="34">
        <f>-56-44.2/60</f>
        <v>-56.736666666666665</v>
      </c>
      <c r="E46" s="38">
        <f>MOD(360-(C46+((3.075+1.336*SIN(RADIANS(C46))*TAN(RADIANS(D46)))*(OBSERVATIONS!$U$35-36526)/365)/3600)*15,360)</f>
        <v>53.370798105791664</v>
      </c>
      <c r="F46" s="38">
        <f>D46+(20.04*COS(RADIANS(C46*15))*(OBSERVATIONS!$U$35-36526)/365)/3600</f>
        <v>-56.658416308471985</v>
      </c>
      <c r="G46" s="38">
        <f>-17.3*SIN(RADIANS(125-0.05295*(OBSERVATIONS!$U$35-2451545)))-1.4*SIN(RADIANS(200+1.97129*(OBSERVATIONS!$U$35-2451545)))</f>
        <v>-15.507213434549312</v>
      </c>
      <c r="H46" s="38">
        <f>9.4*COS(RADIANS(125-0.05295*(OBSERVATIONS!$U$35-2451545)))+0.7*COS(RADIANS(200+1.97129*(OBSERVATIONS!$U$35-2451545)))</f>
        <v>-2.1041300782981658</v>
      </c>
      <c r="I46" s="41">
        <f t="shared" si="250"/>
        <v>53.372162112943094</v>
      </c>
      <c r="J46" s="41">
        <f t="shared" si="251"/>
        <v>-56.659637045254748</v>
      </c>
      <c r="L46" s="39"/>
      <c r="N46" s="40"/>
      <c r="O46" s="42" t="s">
        <v>169</v>
      </c>
      <c r="P46" s="40">
        <v>0</v>
      </c>
      <c r="Q46" s="40"/>
      <c r="R46" s="40"/>
      <c r="S46" s="40"/>
      <c r="T46" s="40"/>
      <c r="U46" s="40"/>
      <c r="V46" s="40"/>
      <c r="W46" s="40"/>
      <c r="X46" s="40"/>
      <c r="Y46" s="40">
        <f>MOD(V$4+OBSERVATIONS!$AO$13+I40,360)</f>
        <v>5.6505509994633485</v>
      </c>
      <c r="Z46" s="40">
        <f t="shared" si="260"/>
        <v>5.6505509994633485</v>
      </c>
      <c r="AA46" s="40">
        <f>J40</f>
        <v>15.331167670826005</v>
      </c>
      <c r="AB46" s="40">
        <f t="shared" si="261"/>
        <v>0</v>
      </c>
      <c r="AC46" s="40">
        <f>ABS(TAN(RADIANS(ABS(OBSERVATIONS!$AO$12)))/TAN(RADIANS(ABS(Z46))))</f>
        <v>14.746118576065951</v>
      </c>
      <c r="AD46" s="40">
        <f>IF(AB46=0,IF(OBSERVATIONS!$AY$35="N",-AC46,AC46),IF(OBSERVATIONS!$AY$35="N",AC46,-AC46))</f>
        <v>-14.746118576065951</v>
      </c>
      <c r="AE46" s="40">
        <f t="shared" si="262"/>
        <v>2.7843918768708216</v>
      </c>
      <c r="AF46" s="40">
        <f t="shared" si="263"/>
        <v>-11.961726699195129</v>
      </c>
      <c r="AG46" s="40">
        <f>ABS(DEGREES(ATAN(1/(COS(RADIANS(ABS(OBSERVATIONS!$AO$12)))*AF46))))</f>
        <v>8.4115249902259546</v>
      </c>
      <c r="AH46" s="40">
        <f t="shared" si="264"/>
        <v>188.41152499022596</v>
      </c>
      <c r="AI46" s="40">
        <f>AA46-OBSERVATIONS!$AO$12</f>
        <v>-40.242165662507325</v>
      </c>
      <c r="AJ46" s="44">
        <f>DEGREES(ASIN(SIN(RADIANS(OBSERVATIONS!$AO$12))*SIN(RADIANS(AA46))+COS(RADIANS(OBSERVATIONS!$AO$12))*COS(RADIANS(AA46))*COS(RADIANS(Y46))))</f>
        <v>49.523430045438033</v>
      </c>
      <c r="AK46" s="44">
        <f t="shared" si="265"/>
        <v>49.523430045438033</v>
      </c>
      <c r="AL46" s="37" t="s">
        <v>169</v>
      </c>
      <c r="AM46" s="44">
        <f t="shared" si="266"/>
        <v>188.41152499022596</v>
      </c>
      <c r="AN46" s="44">
        <f t="shared" si="267"/>
        <v>49.523430045438033</v>
      </c>
      <c r="AO46" s="44"/>
      <c r="AP46" s="44"/>
      <c r="AQ46" s="44"/>
      <c r="AR46" s="44"/>
      <c r="AS46" s="40"/>
      <c r="AT46" s="44"/>
      <c r="AU46" s="40"/>
      <c r="AV46" s="44"/>
      <c r="AW46" s="40"/>
      <c r="AX46" s="44"/>
      <c r="AY46" s="40"/>
      <c r="AZ46" s="40"/>
      <c r="BA46" s="40"/>
      <c r="BB46" s="40"/>
      <c r="BC46" s="40"/>
      <c r="BD46" s="41"/>
      <c r="BF46" s="41"/>
      <c r="BH46" s="41"/>
      <c r="BI46" s="41"/>
      <c r="BJ46" s="41"/>
      <c r="BK46" s="41"/>
      <c r="BL46" s="41"/>
      <c r="BN46" s="41"/>
      <c r="BO46" s="41"/>
      <c r="BP46" s="41"/>
      <c r="BQ46" s="41"/>
      <c r="BX46" s="41"/>
      <c r="BZ46" s="41"/>
      <c r="CA46" s="41"/>
      <c r="CB46" s="41"/>
      <c r="CC46" s="41"/>
      <c r="CD46" s="41"/>
      <c r="CE46" s="41"/>
      <c r="CF46" s="41"/>
      <c r="CG46" s="41"/>
      <c r="CH46" s="41"/>
      <c r="CI46" s="41"/>
      <c r="CJ46" s="41"/>
      <c r="CL46" s="41"/>
      <c r="CM46" s="41"/>
      <c r="CN46" s="41"/>
      <c r="CO46" s="41"/>
      <c r="CP46" s="41"/>
      <c r="CR46" s="41"/>
      <c r="CS46" s="41"/>
      <c r="CT46" s="41"/>
      <c r="CU46" s="41"/>
      <c r="CV46" s="41"/>
      <c r="CW46" s="40"/>
      <c r="CX46" s="40"/>
      <c r="CY46" s="44"/>
      <c r="CZ46" s="40"/>
      <c r="DA46" s="40"/>
      <c r="DB46" s="40"/>
      <c r="DC46" s="40"/>
      <c r="DD46" s="47"/>
      <c r="DE46" s="47"/>
      <c r="DF46" s="47"/>
      <c r="DG46" s="48"/>
      <c r="DH46" s="47"/>
      <c r="DI46" s="47"/>
      <c r="DJ46" s="47"/>
      <c r="DK46" s="47"/>
      <c r="DL46" s="47"/>
      <c r="DM46" s="47"/>
      <c r="DN46" s="47"/>
      <c r="DO46" s="47"/>
      <c r="DP46" s="47"/>
      <c r="DQ46" s="47"/>
      <c r="DR46" s="47"/>
      <c r="DS46" s="47"/>
      <c r="DT46" s="47"/>
      <c r="DU46" s="47"/>
      <c r="DV46" s="47"/>
      <c r="DW46" s="47"/>
      <c r="DX46" s="47"/>
      <c r="DY46" s="47"/>
      <c r="DZ46" s="47"/>
      <c r="EA46" s="47"/>
      <c r="EB46" s="40"/>
      <c r="EC46" s="40"/>
      <c r="ED46" s="40"/>
      <c r="EE46" s="40"/>
      <c r="EF46" s="40"/>
      <c r="EG46" s="40"/>
      <c r="EH46" s="40"/>
      <c r="EI46" s="40"/>
      <c r="EJ46" s="40"/>
      <c r="EK46" s="40"/>
      <c r="EL46" s="40"/>
      <c r="EM46" s="40"/>
      <c r="EN46" s="40"/>
      <c r="EO46" s="40"/>
      <c r="EP46" s="40"/>
      <c r="EQ46" s="40"/>
      <c r="ER46" s="40"/>
      <c r="ES46" s="40"/>
      <c r="ET46" s="40"/>
      <c r="EU46" s="40"/>
      <c r="EV46" s="40"/>
      <c r="EW46" s="40"/>
      <c r="EX46" s="40"/>
      <c r="EY46" s="40"/>
      <c r="EZ46" s="40"/>
      <c r="FA46" s="40"/>
      <c r="FB46" s="40"/>
      <c r="FC46" s="40"/>
      <c r="FD46" s="40"/>
      <c r="FE46" s="40"/>
      <c r="FF46" s="40"/>
      <c r="FG46" s="40"/>
      <c r="FH46" s="40"/>
      <c r="FI46" s="40"/>
      <c r="FJ46" s="40"/>
      <c r="FK46" s="40"/>
      <c r="FL46" s="40"/>
      <c r="FM46" s="40"/>
      <c r="FN46" s="40"/>
      <c r="FO46" s="40"/>
    </row>
    <row r="47" spans="2:171" s="34" customFormat="1" ht="15" customHeight="1">
      <c r="B47" s="37" t="s">
        <v>176</v>
      </c>
      <c r="C47" s="34">
        <f>(7+45/60+20/3600)</f>
        <v>7.7555555555555555</v>
      </c>
      <c r="D47" s="34">
        <f>28+1.5/60</f>
        <v>28.024999999999999</v>
      </c>
      <c r="E47" s="38">
        <f>MOD(360-(C47+((3.075+1.336*SIN(RADIANS(C47))*TAN(RADIANS(D47)))*(OBSERVATIONS!$U$35-36526)/365)/3600)*15,360)</f>
        <v>243.3536608235616</v>
      </c>
      <c r="F47" s="38">
        <f>D47+(20.04*COS(RADIANS(C47*15))*(OBSERVATIONS!$U$35-36526)/365)/3600</f>
        <v>27.966500497515149</v>
      </c>
      <c r="G47" s="38">
        <f>-17.3*SIN(RADIANS(125-0.05295*(OBSERVATIONS!$U$35-2451545)))-1.4*SIN(RADIANS(200+1.97129*(OBSERVATIONS!$U$35-2451545)))</f>
        <v>-15.507213434549312</v>
      </c>
      <c r="H47" s="38">
        <f>9.4*COS(RADIANS(125-0.05295*(OBSERVATIONS!$U$35-2451545)))+0.7*COS(RADIANS(200+1.97129*(OBSERVATIONS!$U$35-2451545)))</f>
        <v>-2.1041300782981658</v>
      </c>
      <c r="I47" s="41">
        <f t="shared" si="250"/>
        <v>243.35226582573475</v>
      </c>
      <c r="J47" s="41">
        <f t="shared" si="251"/>
        <v>27.967181740537971</v>
      </c>
      <c r="L47" s="39"/>
      <c r="N47" s="40"/>
      <c r="O47" s="42" t="s">
        <v>2</v>
      </c>
      <c r="P47" s="40">
        <v>1</v>
      </c>
      <c r="Q47" s="40">
        <f>EJ4</f>
        <v>160.71488951806509</v>
      </c>
      <c r="R47" s="40">
        <f>EJ5</f>
        <v>120.56352747794543</v>
      </c>
      <c r="S47" s="40">
        <f>EJ6</f>
        <v>173.2286527940671</v>
      </c>
      <c r="T47" s="40">
        <f>EI4</f>
        <v>-1.3483781913820179</v>
      </c>
      <c r="U47" s="40">
        <f>EI5</f>
        <v>-15.525931075578766</v>
      </c>
      <c r="V47" s="40">
        <f>EI6</f>
        <v>-1.3575611380431294</v>
      </c>
      <c r="W47" s="40"/>
      <c r="X47" s="40"/>
      <c r="Y47" s="40">
        <f>MOD(Q47+OBSERVATIONS!$AO$13,360)</f>
        <v>167.49822285139842</v>
      </c>
      <c r="Z47" s="40">
        <f t="shared" si="260"/>
        <v>167.49822285139842</v>
      </c>
      <c r="AA47" s="40">
        <f>T47</f>
        <v>-1.3483781913820179</v>
      </c>
      <c r="AB47" s="40">
        <f t="shared" si="261"/>
        <v>1</v>
      </c>
      <c r="AC47" s="40">
        <f>ABS(TAN(RADIANS(ABS(OBSERVATIONS!$AO$12)))/TAN(RADIANS(ABS(Z47))))</f>
        <v>6.580184950660648</v>
      </c>
      <c r="AD47" s="40">
        <f>IF(AB47=0,IF(OBSERVATIONS!$AY$35="N",-AC47,AC47),IF(OBSERVATIONS!$AY$35="N",AC47,-AC47))</f>
        <v>6.580184950660648</v>
      </c>
      <c r="AE47" s="40">
        <f t="shared" si="262"/>
        <v>-0.10873560247446609</v>
      </c>
      <c r="AF47" s="40">
        <f t="shared" si="263"/>
        <v>6.4714493481861819</v>
      </c>
      <c r="AG47" s="40">
        <f>ABS(DEGREES(ATAN(1/(COS(RADIANS(ABS(OBSERVATIONS!$AO$12)))*AF47))))</f>
        <v>15.287021931563626</v>
      </c>
      <c r="AH47" s="40">
        <f t="shared" si="264"/>
        <v>344.71297806843637</v>
      </c>
      <c r="AI47" s="40">
        <f>AA47-OBSERVATIONS!$AO$12</f>
        <v>-56.921711524715349</v>
      </c>
      <c r="AJ47" s="44">
        <f>DEGREES(ASIN(SIN(RADIANS(OBSERVATIONS!$AO$12))*SIN(RADIANS(AA47))+COS(RADIANS(OBSERVATIONS!$AO$12))*COS(RADIANS(AA47))*COS(RADIANS(Y47))))</f>
        <v>-34.834171378077357</v>
      </c>
      <c r="AK47" s="44">
        <f t="shared" si="265"/>
        <v>-34.834171378077357</v>
      </c>
      <c r="AL47" s="37" t="s">
        <v>2</v>
      </c>
      <c r="AM47" s="44">
        <f t="shared" si="266"/>
        <v>344.71297806843637</v>
      </c>
      <c r="AN47" s="44">
        <f t="shared" si="267"/>
        <v>-34.834171378077357</v>
      </c>
      <c r="AO47" s="44"/>
      <c r="AP47" s="44"/>
      <c r="AQ47" s="44"/>
      <c r="AR47" s="44"/>
      <c r="AS47" s="40"/>
      <c r="AT47" s="44"/>
      <c r="AU47" s="40"/>
      <c r="AV47" s="44"/>
      <c r="AW47" s="40"/>
      <c r="AX47" s="44"/>
      <c r="AY47" s="40"/>
      <c r="AZ47" s="40"/>
      <c r="BA47" s="40"/>
      <c r="BB47" s="40"/>
      <c r="BC47" s="40"/>
      <c r="BD47" s="41"/>
      <c r="BF47" s="41"/>
      <c r="BH47" s="41"/>
      <c r="BI47" s="41"/>
      <c r="BJ47" s="41"/>
      <c r="BK47" s="41"/>
      <c r="BL47" s="41"/>
      <c r="BN47" s="41"/>
      <c r="BO47" s="41"/>
      <c r="BP47" s="41"/>
      <c r="BQ47" s="41"/>
      <c r="BX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L47" s="41"/>
      <c r="CM47" s="41"/>
      <c r="CN47" s="41"/>
      <c r="CO47" s="41"/>
      <c r="CP47" s="41"/>
      <c r="CR47" s="41"/>
      <c r="CS47" s="41"/>
      <c r="CT47" s="41"/>
      <c r="CU47" s="41"/>
      <c r="CV47" s="41"/>
      <c r="CW47" s="40"/>
      <c r="CX47" s="40"/>
      <c r="CY47" s="44"/>
      <c r="CZ47" s="40"/>
      <c r="DA47" s="40"/>
      <c r="DB47" s="40"/>
      <c r="DC47" s="40"/>
      <c r="DD47" s="47"/>
      <c r="DE47" s="47"/>
      <c r="DF47" s="47"/>
      <c r="DG47" s="48"/>
      <c r="DH47" s="47"/>
      <c r="DI47" s="47"/>
      <c r="DJ47" s="47"/>
      <c r="DK47" s="47"/>
      <c r="DL47" s="47"/>
      <c r="DM47" s="47"/>
      <c r="DN47" s="47"/>
      <c r="DO47" s="47"/>
      <c r="DP47" s="47"/>
      <c r="DQ47" s="47"/>
      <c r="DR47" s="47"/>
      <c r="DS47" s="47"/>
      <c r="DT47" s="47"/>
      <c r="DU47" s="47"/>
      <c r="DV47" s="47"/>
      <c r="DW47" s="47"/>
      <c r="DX47" s="47"/>
      <c r="DY47" s="47"/>
      <c r="DZ47" s="47"/>
      <c r="EA47" s="47"/>
      <c r="EB47" s="40"/>
      <c r="EC47" s="40"/>
      <c r="ED47" s="40"/>
      <c r="EE47" s="40"/>
      <c r="EF47" s="40"/>
      <c r="EG47" s="40"/>
      <c r="EH47" s="40"/>
      <c r="EI47" s="40"/>
      <c r="EJ47" s="40"/>
      <c r="EK47" s="40"/>
      <c r="EL47" s="40"/>
      <c r="EM47" s="40"/>
      <c r="EN47" s="40"/>
      <c r="EO47" s="40"/>
      <c r="EP47" s="40"/>
      <c r="EQ47" s="40"/>
      <c r="ER47" s="40"/>
      <c r="ES47" s="40"/>
      <c r="ET47" s="40"/>
      <c r="EU47" s="40"/>
      <c r="EV47" s="40"/>
      <c r="EW47" s="40"/>
      <c r="EX47" s="40"/>
      <c r="EY47" s="40"/>
      <c r="EZ47" s="40"/>
      <c r="FA47" s="40"/>
      <c r="FB47" s="40"/>
      <c r="FC47" s="40"/>
      <c r="FD47" s="40"/>
      <c r="FE47" s="40"/>
      <c r="FF47" s="40"/>
      <c r="FG47" s="40"/>
      <c r="FH47" s="40"/>
      <c r="FI47" s="40"/>
      <c r="FJ47" s="40"/>
      <c r="FK47" s="40"/>
      <c r="FL47" s="40"/>
      <c r="FM47" s="40"/>
      <c r="FN47" s="40"/>
      <c r="FO47" s="40"/>
    </row>
    <row r="48" spans="2:171" s="34" customFormat="1" ht="15" customHeight="1">
      <c r="B48" s="37" t="s">
        <v>177</v>
      </c>
      <c r="C48" s="34">
        <f>(7+39/60+19/3600)</f>
        <v>7.6552777777777781</v>
      </c>
      <c r="D48" s="34">
        <f>5+13.5/60</f>
        <v>5.2249999999999996</v>
      </c>
      <c r="E48" s="38">
        <f>MOD(360-(C48+((3.075+1.336*SIN(RADIANS(C48))*TAN(RADIANS(D48)))*(OBSERVATIONS!$U$35-36526)/365)/3600)*15,360)</f>
        <v>244.86569343405779</v>
      </c>
      <c r="F48" s="38">
        <f>D48+(20.04*COS(RADIANS(C48*15))*(OBSERVATIONS!$U$35-36526)/365)/3600</f>
        <v>5.1696231426102939</v>
      </c>
      <c r="G48" s="38">
        <f>-17.3*SIN(RADIANS(125-0.05295*(OBSERVATIONS!$U$35-2451545)))-1.4*SIN(RADIANS(200+1.97129*(OBSERVATIONS!$U$35-2451545)))</f>
        <v>-15.507213434549312</v>
      </c>
      <c r="H48" s="38">
        <f>9.4*COS(RADIANS(125-0.05295*(OBSERVATIONS!$U$35-2451545)))+0.7*COS(RADIANS(200+1.97129*(OBSERVATIONS!$U$35-2451545)))</f>
        <v>-2.1041300782981658</v>
      </c>
      <c r="I48" s="41">
        <f t="shared" si="250"/>
        <v>244.86561355867096</v>
      </c>
      <c r="J48" s="41">
        <f t="shared" si="251"/>
        <v>5.1702648250575951</v>
      </c>
      <c r="L48" s="39"/>
      <c r="N48" s="40"/>
      <c r="O48" s="42" t="s">
        <v>170</v>
      </c>
      <c r="P48" s="40">
        <v>0</v>
      </c>
      <c r="Q48" s="40"/>
      <c r="R48" s="40"/>
      <c r="S48" s="40"/>
      <c r="T48" s="40"/>
      <c r="U48" s="40"/>
      <c r="V48" s="40"/>
      <c r="W48" s="40"/>
      <c r="X48" s="40"/>
      <c r="Y48" s="40">
        <f>MOD(V$4+OBSERVATIONS!$AO$13+I41,360)</f>
        <v>306.27808864227859</v>
      </c>
      <c r="Z48" s="40">
        <f t="shared" si="260"/>
        <v>53.72191135772141</v>
      </c>
      <c r="AA48" s="40">
        <f t="shared" ref="AA48" si="269">J41</f>
        <v>4.1777533499727504</v>
      </c>
      <c r="AB48" s="40">
        <f t="shared" si="261"/>
        <v>0</v>
      </c>
      <c r="AC48" s="40">
        <f>ABS(TAN(RADIANS(ABS(OBSERVATIONS!$AO$12)))/TAN(RADIANS(ABS(Z48))))</f>
        <v>1.0708876715896296</v>
      </c>
      <c r="AD48" s="40">
        <f>IF(AB48=0,IF(OBSERVATIONS!$AY$35="N",-AC48,AC48),IF(OBSERVATIONS!$AY$35="N",AC48,-AC48))</f>
        <v>-1.0708876715896296</v>
      </c>
      <c r="AE48" s="40">
        <f t="shared" si="262"/>
        <v>9.0609229717059342E-2</v>
      </c>
      <c r="AF48" s="40">
        <f t="shared" si="263"/>
        <v>-0.98027844187257029</v>
      </c>
      <c r="AG48" s="40">
        <f>ABS(DEGREES(ATAN(1/(COS(RADIANS(ABS(OBSERVATIONS!$AO$12)))*AF48))))</f>
        <v>61.004719978096801</v>
      </c>
      <c r="AH48" s="40">
        <f t="shared" si="264"/>
        <v>118.9952800219032</v>
      </c>
      <c r="AI48" s="40">
        <f>AA48-OBSERVATIONS!$AO$12</f>
        <v>-51.395579983360577</v>
      </c>
      <c r="AJ48" s="44">
        <f>DEGREES(ASIN(SIN(RADIANS(OBSERVATIONS!$AO$12))*SIN(RADIANS(AA48))+COS(RADIANS(OBSERVATIONS!$AO$12))*COS(RADIANS(AA48))*COS(RADIANS(Y48))))</f>
        <v>23.186368514825418</v>
      </c>
      <c r="AK48" s="44">
        <f t="shared" si="265"/>
        <v>23.186368514825418</v>
      </c>
      <c r="AL48" s="37" t="s">
        <v>170</v>
      </c>
      <c r="AM48" s="44">
        <f t="shared" si="266"/>
        <v>118.9952800219032</v>
      </c>
      <c r="AN48" s="44">
        <f t="shared" si="267"/>
        <v>23.186368514825418</v>
      </c>
      <c r="AO48" s="44"/>
      <c r="AP48" s="44"/>
      <c r="AQ48" s="44"/>
      <c r="AR48" s="44"/>
      <c r="AS48" s="40"/>
      <c r="AT48" s="44"/>
      <c r="AU48" s="40"/>
      <c r="AV48" s="44"/>
      <c r="AW48" s="40"/>
      <c r="AX48" s="44"/>
      <c r="AY48" s="40"/>
      <c r="AZ48" s="40"/>
      <c r="BA48" s="40"/>
      <c r="BB48" s="40"/>
      <c r="BC48" s="40"/>
      <c r="BD48" s="41"/>
      <c r="BF48" s="41"/>
      <c r="BH48" s="41"/>
      <c r="BI48" s="41"/>
      <c r="BJ48" s="41"/>
      <c r="BK48" s="41"/>
      <c r="BL48" s="41"/>
      <c r="BN48" s="41"/>
      <c r="BO48" s="41"/>
      <c r="BP48" s="41"/>
      <c r="BQ48" s="41"/>
      <c r="BX48" s="41"/>
      <c r="BZ48" s="41"/>
      <c r="CA48" s="41"/>
      <c r="CB48" s="41"/>
      <c r="CC48" s="41"/>
      <c r="CD48" s="41"/>
      <c r="CE48" s="41"/>
      <c r="CF48" s="41"/>
      <c r="CG48" s="41"/>
      <c r="CH48" s="41"/>
      <c r="CI48" s="41"/>
      <c r="CJ48" s="41"/>
      <c r="CL48" s="41"/>
      <c r="CM48" s="41"/>
      <c r="CN48" s="41"/>
      <c r="CO48" s="41"/>
      <c r="CP48" s="41"/>
      <c r="CR48" s="41"/>
      <c r="CS48" s="41"/>
      <c r="CT48" s="41"/>
      <c r="CU48" s="41"/>
      <c r="CV48" s="41"/>
      <c r="CW48" s="40"/>
      <c r="CX48" s="40"/>
      <c r="CY48" s="44"/>
      <c r="CZ48" s="40"/>
      <c r="DA48" s="40"/>
      <c r="DB48" s="40"/>
      <c r="DC48" s="40"/>
      <c r="DD48" s="47"/>
      <c r="DE48" s="47"/>
      <c r="DF48" s="47"/>
      <c r="DG48" s="48"/>
      <c r="DH48" s="47"/>
      <c r="DI48" s="47"/>
      <c r="DJ48" s="47"/>
      <c r="DK48" s="47"/>
      <c r="DL48" s="47"/>
      <c r="DM48" s="47"/>
      <c r="DN48" s="47"/>
      <c r="DO48" s="47"/>
      <c r="DP48" s="47"/>
      <c r="DQ48" s="47"/>
      <c r="DR48" s="47"/>
      <c r="DS48" s="47"/>
      <c r="DT48" s="47"/>
      <c r="DU48" s="47"/>
      <c r="DV48" s="47"/>
      <c r="DW48" s="47"/>
      <c r="DX48" s="47"/>
      <c r="DY48" s="47"/>
      <c r="DZ48" s="47"/>
      <c r="EA48" s="47"/>
      <c r="EB48" s="40"/>
      <c r="EC48" s="40"/>
      <c r="ED48" s="40"/>
      <c r="EE48" s="40"/>
      <c r="EF48" s="40"/>
      <c r="EG48" s="40"/>
      <c r="EH48" s="40"/>
      <c r="EI48" s="40"/>
      <c r="EJ48" s="40"/>
      <c r="EK48" s="40"/>
      <c r="EL48" s="40"/>
      <c r="EM48" s="40"/>
      <c r="EN48" s="40"/>
      <c r="EO48" s="40"/>
      <c r="EP48" s="40"/>
      <c r="EQ48" s="40"/>
      <c r="ER48" s="40"/>
      <c r="ES48" s="40"/>
      <c r="ET48" s="40"/>
      <c r="EU48" s="40"/>
      <c r="EV48" s="40"/>
      <c r="EW48" s="40"/>
      <c r="EX48" s="40"/>
      <c r="EY48" s="40"/>
      <c r="EZ48" s="40"/>
      <c r="FA48" s="40"/>
      <c r="FB48" s="40"/>
      <c r="FC48" s="40"/>
      <c r="FD48" s="40"/>
      <c r="FE48" s="40"/>
      <c r="FF48" s="40"/>
      <c r="FG48" s="40"/>
      <c r="FH48" s="40"/>
      <c r="FI48" s="40"/>
      <c r="FJ48" s="40"/>
      <c r="FK48" s="40"/>
      <c r="FL48" s="40"/>
      <c r="FM48" s="40"/>
      <c r="FN48" s="40"/>
      <c r="FO48" s="40"/>
    </row>
    <row r="49" spans="2:176" s="34" customFormat="1" ht="15" customHeight="1">
      <c r="B49" s="37" t="s">
        <v>178</v>
      </c>
      <c r="C49" s="34">
        <f>(17+34/60+54/3600)</f>
        <v>17.581666666666667</v>
      </c>
      <c r="D49" s="34">
        <f>12+33.7/60</f>
        <v>12.561666666666667</v>
      </c>
      <c r="E49" s="38">
        <f>MOD(360-(C49+((3.075+1.336*SIN(RADIANS(C49))*TAN(RADIANS(D49)))*(OBSERVATIONS!$U$35-36526)/365)/3600)*15,360)</f>
        <v>95.962590345119111</v>
      </c>
      <c r="F49" s="38">
        <f>D49+(20.04*COS(RADIANS(C49*15))*(OBSERVATIONS!$U$35-36526)/365)/3600</f>
        <v>12.547252472419661</v>
      </c>
      <c r="G49" s="38">
        <f>-17.3*SIN(RADIANS(125-0.05295*(OBSERVATIONS!$U$35-2451545)))-1.4*SIN(RADIANS(200+1.97129*(OBSERVATIONS!$U$35-2451545)))</f>
        <v>-15.507213434549312</v>
      </c>
      <c r="H49" s="38">
        <f>9.4*COS(RADIANS(125-0.05295*(OBSERVATIONS!$U$35-2451545)))+0.7*COS(RADIANS(200+1.97129*(OBSERVATIONS!$U$35-2451545)))</f>
        <v>-2.1041300782981658</v>
      </c>
      <c r="I49" s="41">
        <f t="shared" si="250"/>
        <v>95.961365817906398</v>
      </c>
      <c r="J49" s="41">
        <f t="shared" si="251"/>
        <v>12.547263213096711</v>
      </c>
      <c r="L49" s="39"/>
      <c r="N49" s="40"/>
      <c r="O49" s="42" t="s">
        <v>171</v>
      </c>
      <c r="P49" s="40">
        <v>0</v>
      </c>
      <c r="Q49" s="40"/>
      <c r="R49" s="40"/>
      <c r="S49" s="40"/>
      <c r="T49" s="40"/>
      <c r="U49" s="40"/>
      <c r="V49" s="40"/>
      <c r="W49" s="40"/>
      <c r="X49" s="40"/>
      <c r="Y49" s="40">
        <f>MOD(V$4+OBSERVATIONS!$AO$13+I42,360)</f>
        <v>140.2075641326341</v>
      </c>
      <c r="Z49" s="40">
        <f t="shared" si="260"/>
        <v>140.2075641326341</v>
      </c>
      <c r="AA49" s="40">
        <f t="shared" ref="AA49:AA60" si="270">J42</f>
        <v>-36.475926460519851</v>
      </c>
      <c r="AB49" s="40">
        <f t="shared" si="261"/>
        <v>1</v>
      </c>
      <c r="AC49" s="40">
        <f>ABS(TAN(RADIANS(ABS(OBSERVATIONS!$AO$12)))/TAN(RADIANS(ABS(Z49))))</f>
        <v>1.7516235754927432</v>
      </c>
      <c r="AD49" s="40">
        <f>IF(AB49=0,IF(OBSERVATIONS!$AY$35="N",-AC49,AC49),IF(OBSERVATIONS!$AY$35="N",AC49,-AC49))</f>
        <v>1.7516235754927432</v>
      </c>
      <c r="AE49" s="40">
        <f t="shared" si="262"/>
        <v>-1.155158608392582</v>
      </c>
      <c r="AF49" s="40">
        <f t="shared" si="263"/>
        <v>0.59646496710016117</v>
      </c>
      <c r="AG49" s="40">
        <f>ABS(DEGREES(ATAN(1/(COS(RADIANS(ABS(OBSERVATIONS!$AO$12)))*AF49))))</f>
        <v>71.365273960743281</v>
      </c>
      <c r="AH49" s="40">
        <f t="shared" si="264"/>
        <v>288.63472603925675</v>
      </c>
      <c r="AI49" s="40">
        <f>AA49-OBSERVATIONS!$AO$12</f>
        <v>-92.049259793853182</v>
      </c>
      <c r="AJ49" s="44">
        <f>DEGREES(ASIN(SIN(RADIANS(OBSERVATIONS!$AO$12))*SIN(RADIANS(AA49))+COS(RADIANS(OBSERVATIONS!$AO$12))*COS(RADIANS(AA49))*COS(RADIANS(Y49))))</f>
        <v>-57.104576013422381</v>
      </c>
      <c r="AK49" s="44">
        <f t="shared" si="265"/>
        <v>-57.104576013422381</v>
      </c>
      <c r="AL49" s="37" t="s">
        <v>171</v>
      </c>
      <c r="AM49" s="44">
        <f t="shared" si="266"/>
        <v>288.63472603925675</v>
      </c>
      <c r="AN49" s="44">
        <f t="shared" si="267"/>
        <v>-57.104576013422381</v>
      </c>
      <c r="AO49" s="44"/>
      <c r="AP49" s="44"/>
      <c r="AQ49" s="44"/>
      <c r="AR49" s="44"/>
      <c r="AS49" s="40"/>
      <c r="AT49" s="44"/>
      <c r="AU49" s="40"/>
      <c r="AV49" s="44"/>
      <c r="AW49" s="40"/>
      <c r="AX49" s="44"/>
      <c r="AY49" s="40"/>
      <c r="AZ49" s="40"/>
      <c r="BA49" s="40"/>
      <c r="BB49" s="40"/>
      <c r="BC49" s="40"/>
      <c r="BD49" s="41"/>
      <c r="BF49" s="41"/>
      <c r="BH49" s="41"/>
      <c r="BI49" s="41"/>
      <c r="BJ49" s="41"/>
      <c r="BK49" s="41"/>
      <c r="BL49" s="41"/>
      <c r="BN49" s="41"/>
      <c r="BO49" s="41"/>
      <c r="BP49" s="41"/>
      <c r="BQ49" s="41"/>
      <c r="BX49" s="41"/>
      <c r="BZ49" s="41"/>
      <c r="CA49" s="41"/>
      <c r="CB49" s="41"/>
      <c r="CC49" s="41"/>
      <c r="CD49" s="41"/>
      <c r="CE49" s="41"/>
      <c r="CF49" s="41"/>
      <c r="CG49" s="41"/>
      <c r="CH49" s="41"/>
      <c r="CI49" s="41"/>
      <c r="CJ49" s="41"/>
      <c r="CL49" s="41"/>
      <c r="CM49" s="41"/>
      <c r="CN49" s="41"/>
      <c r="CO49" s="41"/>
      <c r="CP49" s="41"/>
      <c r="CR49" s="41"/>
      <c r="CS49" s="41"/>
      <c r="CT49" s="41"/>
      <c r="CU49" s="41"/>
      <c r="CV49" s="41"/>
      <c r="CW49" s="40"/>
      <c r="CX49" s="40"/>
      <c r="CY49" s="44"/>
      <c r="CZ49" s="40"/>
      <c r="DA49" s="40"/>
      <c r="DB49" s="40"/>
      <c r="DC49" s="40"/>
      <c r="DD49" s="47"/>
      <c r="DE49" s="47"/>
      <c r="DF49" s="47"/>
      <c r="DG49" s="48"/>
      <c r="DH49" s="47"/>
      <c r="DI49" s="47"/>
      <c r="DJ49" s="47"/>
      <c r="DK49" s="47"/>
      <c r="DL49" s="47"/>
      <c r="DM49" s="47"/>
      <c r="DN49" s="47"/>
      <c r="DO49" s="47"/>
      <c r="DP49" s="47"/>
      <c r="DQ49" s="47"/>
      <c r="DR49" s="47"/>
      <c r="DS49" s="47"/>
      <c r="DT49" s="47"/>
      <c r="DU49" s="47"/>
      <c r="DV49" s="47"/>
      <c r="DW49" s="47"/>
      <c r="DX49" s="47"/>
      <c r="DY49" s="47"/>
      <c r="DZ49" s="47"/>
      <c r="EA49" s="47"/>
      <c r="EB49" s="40"/>
      <c r="EC49" s="40"/>
      <c r="ED49" s="40"/>
      <c r="EE49" s="40"/>
      <c r="EF49" s="40"/>
      <c r="EG49" s="40"/>
      <c r="EH49" s="40"/>
      <c r="EI49" s="40"/>
      <c r="EJ49" s="40"/>
      <c r="EK49" s="40"/>
      <c r="EL49" s="40"/>
      <c r="EM49" s="40"/>
      <c r="EN49" s="40"/>
      <c r="EO49" s="40"/>
      <c r="EP49" s="40"/>
      <c r="EQ49" s="40"/>
      <c r="ER49" s="40"/>
      <c r="ES49" s="40"/>
      <c r="ET49" s="40"/>
      <c r="EU49" s="40"/>
      <c r="EV49" s="40"/>
      <c r="EW49" s="40"/>
      <c r="EX49" s="40"/>
      <c r="EY49" s="40"/>
      <c r="EZ49" s="40"/>
      <c r="FA49" s="40"/>
      <c r="FB49" s="40"/>
      <c r="FC49" s="40"/>
      <c r="FD49" s="40"/>
      <c r="FE49" s="40"/>
      <c r="FF49" s="40"/>
      <c r="FG49" s="40"/>
      <c r="FH49" s="40"/>
      <c r="FI49" s="40"/>
      <c r="FJ49" s="40"/>
      <c r="FK49" s="40"/>
      <c r="FL49" s="40"/>
      <c r="FM49" s="40"/>
      <c r="FN49" s="40"/>
      <c r="FO49" s="40"/>
    </row>
    <row r="50" spans="2:176" s="34" customFormat="1" ht="15" customHeight="1">
      <c r="B50" s="37" t="s">
        <v>179</v>
      </c>
      <c r="C50" s="34">
        <f>(10+8/60+22/3600)</f>
        <v>10.139444444444443</v>
      </c>
      <c r="D50" s="34">
        <f>11+58/60</f>
        <v>11.966666666666667</v>
      </c>
      <c r="E50" s="38">
        <f>MOD(360-(C50+((3.075+1.336*SIN(RADIANS(C50))*TAN(RADIANS(D50)))*(OBSERVATIONS!$U$35-36526)/365)/3600)*15,360)</f>
        <v>207.59987931355346</v>
      </c>
      <c r="F50" s="38">
        <f>D50+(20.04*COS(RADIANS(C50*15))*(OBSERVATIONS!$U$35-36526)/365)/3600</f>
        <v>11.850127618053932</v>
      </c>
      <c r="G50" s="38">
        <f>-17.3*SIN(RADIANS(125-0.05295*(OBSERVATIONS!$U$35-2451545)))-1.4*SIN(RADIANS(200+1.97129*(OBSERVATIONS!$U$35-2451545)))</f>
        <v>-15.507213434549312</v>
      </c>
      <c r="H50" s="38">
        <f>9.4*COS(RADIANS(125-0.05295*(OBSERVATIONS!$U$35-2451545)))+0.7*COS(RADIANS(200+1.97129*(OBSERVATIONS!$U$35-2451545)))</f>
        <v>-2.1041300782981658</v>
      </c>
      <c r="I50" s="41">
        <f t="shared" si="250"/>
        <v>207.59911069271143</v>
      </c>
      <c r="J50" s="41">
        <f t="shared" si="251"/>
        <v>11.851538980874237</v>
      </c>
      <c r="L50" s="39"/>
      <c r="N50" s="40"/>
      <c r="O50" s="42" t="s">
        <v>172</v>
      </c>
      <c r="P50" s="40">
        <v>0</v>
      </c>
      <c r="Q50" s="40"/>
      <c r="R50" s="40"/>
      <c r="S50" s="40"/>
      <c r="T50" s="40"/>
      <c r="U50" s="40"/>
      <c r="V50" s="40"/>
      <c r="W50" s="40"/>
      <c r="X50" s="40"/>
      <c r="Y50" s="40">
        <f>MOD(V$4+OBSERVATIONS!$AO$13+I43,360)</f>
        <v>213.59159319424487</v>
      </c>
      <c r="Z50" s="40">
        <f t="shared" si="260"/>
        <v>146.40840680575513</v>
      </c>
      <c r="AA50" s="40">
        <f t="shared" si="270"/>
        <v>-69.810636897715312</v>
      </c>
      <c r="AB50" s="40">
        <f t="shared" si="261"/>
        <v>1</v>
      </c>
      <c r="AC50" s="40">
        <f>ABS(TAN(RADIANS(ABS(OBSERVATIONS!$AO$12)))/TAN(RADIANS(ABS(Z50))))</f>
        <v>2.1966797786191474</v>
      </c>
      <c r="AD50" s="40">
        <f>IF(AB50=0,IF(OBSERVATIONS!$AY$35="N",-AC50,AC50),IF(OBSERVATIONS!$AY$35="N",AC50,-AC50))</f>
        <v>2.1966797786191474</v>
      </c>
      <c r="AE50" s="40">
        <f t="shared" si="262"/>
        <v>-4.915288259845302</v>
      </c>
      <c r="AF50" s="40">
        <f t="shared" si="263"/>
        <v>-2.7186084812261546</v>
      </c>
      <c r="AG50" s="40">
        <f>ABS(DEGREES(ATAN(1/(COS(RADIANS(ABS(OBSERVATIONS!$AO$12)))*AF50))))</f>
        <v>33.04930238575654</v>
      </c>
      <c r="AH50" s="40">
        <f t="shared" si="264"/>
        <v>146.95069761424347</v>
      </c>
      <c r="AI50" s="40">
        <f>AA50-OBSERVATIONS!$AO$12</f>
        <v>-125.38397023104864</v>
      </c>
      <c r="AJ50" s="44">
        <f>DEGREES(ASIN(SIN(RADIANS(OBSERVATIONS!$AO$12))*SIN(RADIANS(AA50))+COS(RADIANS(OBSERVATIONS!$AO$12))*COS(RADIANS(AA50))*COS(RADIANS(Y50))))</f>
        <v>-69.504796961613977</v>
      </c>
      <c r="AK50" s="44">
        <f t="shared" si="265"/>
        <v>-69.504796961613977</v>
      </c>
      <c r="AL50" s="37" t="s">
        <v>172</v>
      </c>
      <c r="AM50" s="44">
        <f t="shared" si="266"/>
        <v>146.95069761424347</v>
      </c>
      <c r="AN50" s="44">
        <f t="shared" si="267"/>
        <v>-69.504796961613977</v>
      </c>
      <c r="AO50" s="44"/>
      <c r="AP50" s="44"/>
      <c r="AQ50" s="44"/>
      <c r="AR50" s="44"/>
      <c r="AS50" s="40"/>
      <c r="AT50" s="44"/>
      <c r="AU50" s="40"/>
      <c r="AV50" s="44"/>
      <c r="AW50" s="40"/>
      <c r="AX50" s="44"/>
      <c r="AY50" s="40"/>
      <c r="AZ50" s="40"/>
      <c r="BA50" s="40"/>
      <c r="BB50" s="40"/>
      <c r="BC50" s="40"/>
      <c r="BD50" s="41"/>
      <c r="BF50" s="41"/>
      <c r="BH50" s="41"/>
      <c r="BI50" s="41"/>
      <c r="BJ50" s="41"/>
      <c r="BK50" s="41"/>
      <c r="BL50" s="41"/>
      <c r="BN50" s="41"/>
      <c r="BO50" s="41"/>
      <c r="BP50" s="41"/>
      <c r="BQ50" s="41"/>
      <c r="BX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L50" s="41"/>
      <c r="CM50" s="41"/>
      <c r="CN50" s="41"/>
      <c r="CO50" s="41"/>
      <c r="CP50" s="41"/>
      <c r="CR50" s="41"/>
      <c r="CS50" s="41"/>
      <c r="CT50" s="41"/>
      <c r="CU50" s="41"/>
      <c r="CV50" s="41"/>
      <c r="CW50" s="40"/>
      <c r="CX50" s="40"/>
      <c r="CY50" s="44"/>
      <c r="CZ50" s="40"/>
      <c r="DA50" s="40"/>
      <c r="DB50" s="40"/>
      <c r="DC50" s="40"/>
      <c r="DD50" s="47"/>
      <c r="DE50" s="47"/>
      <c r="DF50" s="47"/>
      <c r="DG50" s="48"/>
      <c r="DH50" s="47"/>
      <c r="DI50" s="47"/>
      <c r="DJ50" s="47"/>
      <c r="DK50" s="47"/>
      <c r="DL50" s="47"/>
      <c r="DM50" s="47"/>
      <c r="DN50" s="47"/>
      <c r="DO50" s="47"/>
      <c r="DP50" s="47"/>
      <c r="DQ50" s="47"/>
      <c r="DR50" s="47"/>
      <c r="DS50" s="47"/>
      <c r="DT50" s="47"/>
      <c r="DU50" s="47"/>
      <c r="DV50" s="47"/>
      <c r="DW50" s="47"/>
      <c r="DX50" s="47"/>
      <c r="DY50" s="47"/>
      <c r="DZ50" s="47"/>
      <c r="EA50" s="47"/>
      <c r="EB50" s="40"/>
      <c r="EC50" s="40"/>
      <c r="ED50" s="40"/>
      <c r="EE50" s="40"/>
      <c r="EF50" s="40"/>
      <c r="EG50" s="40"/>
      <c r="EH50" s="40"/>
      <c r="EI50" s="40"/>
      <c r="EJ50" s="40"/>
      <c r="EK50" s="40"/>
      <c r="EL50" s="40"/>
      <c r="EM50" s="40"/>
      <c r="EN50" s="40"/>
      <c r="EO50" s="40"/>
      <c r="EP50" s="40"/>
      <c r="EQ50" s="40"/>
      <c r="ER50" s="40"/>
      <c r="ES50" s="40"/>
      <c r="ET50" s="40"/>
      <c r="EU50" s="40"/>
      <c r="EV50" s="40"/>
      <c r="EW50" s="40"/>
      <c r="EX50" s="40"/>
      <c r="EY50" s="40"/>
      <c r="EZ50" s="40"/>
      <c r="FA50" s="40"/>
      <c r="FB50" s="40"/>
      <c r="FC50" s="40"/>
      <c r="FD50" s="40"/>
      <c r="FE50" s="40"/>
      <c r="FF50" s="40"/>
      <c r="FG50" s="40"/>
      <c r="FH50" s="40"/>
      <c r="FI50" s="40"/>
      <c r="FJ50" s="40"/>
      <c r="FK50" s="40"/>
      <c r="FL50" s="40"/>
      <c r="FM50" s="40"/>
      <c r="FN50" s="40"/>
      <c r="FO50" s="40"/>
    </row>
    <row r="51" spans="2:176" s="34" customFormat="1" ht="15" customHeight="1">
      <c r="B51" s="37" t="s">
        <v>180</v>
      </c>
      <c r="C51" s="34">
        <f>(5+14/60+33/3600)</f>
        <v>5.2424999999999997</v>
      </c>
      <c r="D51" s="34">
        <f>-8-12.3/60</f>
        <v>-8.2050000000000001</v>
      </c>
      <c r="E51" s="38">
        <f>MOD(360-(C51+((3.075+1.336*SIN(RADIANS(C51))*TAN(RADIANS(D51)))*(OBSERVATIONS!$U$35-36526)/365)/3600)*15,360)</f>
        <v>281.06070407616949</v>
      </c>
      <c r="F51" s="38">
        <f>D51+(20.04*COS(RADIANS(C51*15))*(OBSERVATIONS!$U$35-36526)/365)/3600</f>
        <v>-8.1790182336026014</v>
      </c>
      <c r="G51" s="38">
        <f>-17.3*SIN(RADIANS(125-0.05295*(OBSERVATIONS!$U$35-2451545)))-1.4*SIN(RADIANS(200+1.97129*(OBSERVATIONS!$U$35-2451545)))</f>
        <v>-15.507213434549312</v>
      </c>
      <c r="H51" s="38">
        <f>9.4*COS(RADIANS(125-0.05295*(OBSERVATIONS!$U$35-2451545)))+0.7*COS(RADIANS(200+1.97129*(OBSERVATIONS!$U$35-2451545)))</f>
        <v>-2.1041300782981658</v>
      </c>
      <c r="I51" s="41">
        <f t="shared" si="250"/>
        <v>281.06127923537997</v>
      </c>
      <c r="J51" s="41">
        <f t="shared" si="251"/>
        <v>-8.1794092340327573</v>
      </c>
      <c r="L51" s="39"/>
      <c r="N51" s="40"/>
      <c r="O51" s="42" t="s">
        <v>173</v>
      </c>
      <c r="P51" s="40">
        <v>0</v>
      </c>
      <c r="Q51" s="40"/>
      <c r="R51" s="40"/>
      <c r="S51" s="40"/>
      <c r="T51" s="40"/>
      <c r="U51" s="40"/>
      <c r="V51" s="40"/>
      <c r="W51" s="40"/>
      <c r="X51" s="40"/>
      <c r="Y51" s="40">
        <f>MOD(V$4+OBSERVATIONS!$AO$13+I44,360)</f>
        <v>300.75580852275698</v>
      </c>
      <c r="Z51" s="40">
        <f t="shared" si="260"/>
        <v>59.244191477243021</v>
      </c>
      <c r="AA51" s="40">
        <f t="shared" si="270"/>
        <v>49.943399011648744</v>
      </c>
      <c r="AB51" s="40">
        <f t="shared" si="261"/>
        <v>0</v>
      </c>
      <c r="AC51" s="40">
        <f>ABS(TAN(RADIANS(ABS(OBSERVATIONS!$AO$12)))/TAN(RADIANS(ABS(Z51))))</f>
        <v>0.86821763938683005</v>
      </c>
      <c r="AD51" s="40">
        <f>IF(AB51=0,IF(OBSERVATIONS!$AY$35="N",-AC51,AC51),IF(OBSERVATIONS!$AY$35="N",AC51,-AC51))</f>
        <v>-0.86821763938683005</v>
      </c>
      <c r="AE51" s="40">
        <f t="shared" si="262"/>
        <v>1.3840218146450289</v>
      </c>
      <c r="AF51" s="40">
        <f t="shared" si="263"/>
        <v>0.51580417525819888</v>
      </c>
      <c r="AG51" s="40">
        <f>ABS(DEGREES(ATAN(1/(COS(RADIANS(ABS(OBSERVATIONS!$AO$12)))*AF51))))</f>
        <v>73.742766983685797</v>
      </c>
      <c r="AH51" s="40">
        <f t="shared" si="264"/>
        <v>73.742766983685797</v>
      </c>
      <c r="AI51" s="40">
        <f>AA51-OBSERVATIONS!$AO$12</f>
        <v>-5.629934321684587</v>
      </c>
      <c r="AJ51" s="44">
        <f>DEGREES(ASIN(SIN(RADIANS(OBSERVATIONS!$AO$12))*SIN(RADIANS(AA51))+COS(RADIANS(OBSERVATIONS!$AO$12))*COS(RADIANS(AA51))*COS(RADIANS(Y51))))</f>
        <v>54.825622664466295</v>
      </c>
      <c r="AK51" s="44">
        <f t="shared" si="265"/>
        <v>54.825622664466295</v>
      </c>
      <c r="AL51" s="37" t="s">
        <v>173</v>
      </c>
      <c r="AM51" s="44">
        <f t="shared" si="266"/>
        <v>73.742766983685797</v>
      </c>
      <c r="AN51" s="44">
        <f t="shared" si="267"/>
        <v>54.825622664466295</v>
      </c>
      <c r="AO51" s="44"/>
      <c r="AP51" s="44"/>
      <c r="AQ51" s="44"/>
      <c r="AR51" s="44"/>
      <c r="AS51" s="40"/>
      <c r="AT51" s="44"/>
      <c r="AU51" s="40"/>
      <c r="AV51" s="44"/>
      <c r="AW51" s="40"/>
      <c r="AX51" s="44"/>
      <c r="AY51" s="40"/>
      <c r="AZ51" s="40"/>
      <c r="BA51" s="40"/>
      <c r="BB51" s="40"/>
      <c r="BC51" s="40"/>
      <c r="BD51" s="41"/>
      <c r="BF51" s="41"/>
      <c r="BH51" s="41"/>
      <c r="BI51" s="41"/>
      <c r="BJ51" s="41"/>
      <c r="BK51" s="41"/>
      <c r="BL51" s="41"/>
      <c r="BN51" s="41"/>
      <c r="BO51" s="41"/>
      <c r="BP51" s="41"/>
      <c r="BQ51" s="41"/>
      <c r="BX51" s="41"/>
      <c r="BZ51" s="41"/>
      <c r="CA51" s="41"/>
      <c r="CB51" s="41"/>
      <c r="CC51" s="41"/>
      <c r="CD51" s="41"/>
      <c r="CE51" s="41"/>
      <c r="CF51" s="41"/>
      <c r="CG51" s="41"/>
      <c r="CH51" s="41"/>
      <c r="CI51" s="41"/>
      <c r="CJ51" s="41"/>
      <c r="CL51" s="41"/>
      <c r="CM51" s="41"/>
      <c r="CN51" s="41"/>
      <c r="CO51" s="41"/>
      <c r="CP51" s="41"/>
      <c r="CR51" s="41"/>
      <c r="CS51" s="41"/>
      <c r="CT51" s="41"/>
      <c r="CU51" s="41"/>
      <c r="CV51" s="41"/>
      <c r="CW51" s="40"/>
      <c r="CX51" s="40"/>
      <c r="CY51" s="44"/>
      <c r="CZ51" s="40"/>
      <c r="DA51" s="40"/>
      <c r="DB51" s="40"/>
      <c r="DC51" s="40"/>
      <c r="DD51" s="47"/>
      <c r="DE51" s="47"/>
      <c r="DF51" s="47"/>
      <c r="DG51" s="48"/>
      <c r="DH51" s="47"/>
      <c r="DI51" s="47"/>
      <c r="DJ51" s="47"/>
      <c r="DK51" s="47"/>
      <c r="DL51" s="47"/>
      <c r="DM51" s="47"/>
      <c r="DN51" s="47"/>
      <c r="DO51" s="47"/>
      <c r="DP51" s="47"/>
      <c r="DQ51" s="47"/>
      <c r="DR51" s="47"/>
      <c r="DS51" s="47"/>
      <c r="DT51" s="47"/>
      <c r="DU51" s="47"/>
      <c r="DV51" s="47"/>
      <c r="DW51" s="47"/>
      <c r="DX51" s="47"/>
      <c r="DY51" s="47"/>
      <c r="DZ51" s="47"/>
      <c r="EA51" s="47"/>
      <c r="EB51" s="40"/>
      <c r="EC51" s="40"/>
      <c r="ED51" s="40"/>
      <c r="EE51" s="40"/>
      <c r="EF51" s="40"/>
      <c r="EG51" s="40"/>
      <c r="EH51" s="40"/>
      <c r="EI51" s="40"/>
      <c r="EJ51" s="40"/>
      <c r="EK51" s="40"/>
      <c r="EL51" s="40"/>
      <c r="EM51" s="40"/>
      <c r="EN51" s="40"/>
      <c r="EO51" s="40"/>
      <c r="EP51" s="40"/>
      <c r="EQ51" s="40"/>
      <c r="ER51" s="40"/>
      <c r="ES51" s="40"/>
      <c r="ET51" s="40"/>
      <c r="EU51" s="40"/>
      <c r="EV51" s="40"/>
      <c r="EW51" s="40"/>
      <c r="EX51" s="40"/>
      <c r="EY51" s="40"/>
      <c r="EZ51" s="40"/>
      <c r="FA51" s="40"/>
      <c r="FB51" s="40"/>
      <c r="FC51" s="40"/>
      <c r="FD51" s="40"/>
      <c r="FE51" s="40"/>
      <c r="FF51" s="40"/>
      <c r="FG51" s="40"/>
      <c r="FH51" s="40"/>
      <c r="FI51" s="40"/>
      <c r="FJ51" s="40"/>
      <c r="FK51" s="40"/>
      <c r="FL51" s="40"/>
      <c r="FM51" s="40"/>
      <c r="FN51" s="40"/>
      <c r="FO51" s="40"/>
    </row>
    <row r="52" spans="2:176" s="34" customFormat="1" ht="15" customHeight="1">
      <c r="B52" s="37" t="s">
        <v>181</v>
      </c>
      <c r="C52" s="34">
        <f>(14+39/60+37/3600)</f>
        <v>14.660277777777779</v>
      </c>
      <c r="D52" s="34">
        <f>-60-49.8/60</f>
        <v>-60.83</v>
      </c>
      <c r="E52" s="38">
        <f>MOD(360-(C52+((3.075+1.336*SIN(RADIANS(C52))*TAN(RADIANS(D52)))*(OBSERVATIONS!$U$35-36526)/365)/3600)*15,360)</f>
        <v>139.85209328901476</v>
      </c>
      <c r="F52" s="38">
        <f>D52+(20.04*COS(RADIANS(C52*15))*(OBSERVATIONS!$U$35-36526)/365)/3600</f>
        <v>-60.931164995987231</v>
      </c>
      <c r="G52" s="38">
        <f>-17.3*SIN(RADIANS(125-0.05295*(OBSERVATIONS!$U$35-2451545)))-1.4*SIN(RADIANS(200+1.97129*(OBSERVATIONS!$U$35-2451545)))</f>
        <v>-15.507213434549312</v>
      </c>
      <c r="H52" s="38">
        <f>9.4*COS(RADIANS(125-0.05295*(OBSERVATIONS!$U$35-2451545)))+0.7*COS(RADIANS(200+1.97129*(OBSERVATIONS!$U$35-2451545)))</f>
        <v>-2.1041300782981658</v>
      </c>
      <c r="I52" s="41">
        <f t="shared" si="250"/>
        <v>139.85410851584891</v>
      </c>
      <c r="J52" s="41">
        <f t="shared" si="251"/>
        <v>-60.92999842692123</v>
      </c>
      <c r="L52" s="39"/>
      <c r="N52" s="40"/>
      <c r="O52" s="42" t="s">
        <v>174</v>
      </c>
      <c r="P52" s="40">
        <v>0</v>
      </c>
      <c r="Q52" s="40"/>
      <c r="R52" s="40"/>
      <c r="S52" s="40"/>
      <c r="T52" s="40"/>
      <c r="U52" s="40"/>
      <c r="V52" s="40"/>
      <c r="W52" s="40"/>
      <c r="X52" s="40"/>
      <c r="Y52" s="40">
        <f>MOD(V$4+OBSERVATIONS!$AO$13+I45,360)</f>
        <v>68.06747923707627</v>
      </c>
      <c r="Z52" s="40">
        <f t="shared" si="260"/>
        <v>68.06747923707627</v>
      </c>
      <c r="AA52" s="40">
        <f t="shared" si="270"/>
        <v>-26.264132078651066</v>
      </c>
      <c r="AB52" s="40">
        <f t="shared" si="261"/>
        <v>0</v>
      </c>
      <c r="AC52" s="40">
        <f>ABS(TAN(RADIANS(ABS(OBSERVATIONS!$AO$12)))/TAN(RADIANS(ABS(Z52))))</f>
        <v>0.58747882652474093</v>
      </c>
      <c r="AD52" s="40">
        <f>IF(AB52=0,IF(OBSERVATIONS!$AY$35="N",-AC52,AC52),IF(OBSERVATIONS!$AY$35="N",AC52,-AC52))</f>
        <v>-0.58747882652474093</v>
      </c>
      <c r="AE52" s="40">
        <f t="shared" si="262"/>
        <v>-0.53195247890105035</v>
      </c>
      <c r="AF52" s="40">
        <f t="shared" si="263"/>
        <v>-1.1194313054257914</v>
      </c>
      <c r="AG52" s="40">
        <f>ABS(DEGREES(ATAN(1/(COS(RADIANS(ABS(OBSERVATIONS!$AO$12)))*AF52))))</f>
        <v>57.671443313727643</v>
      </c>
      <c r="AH52" s="40">
        <f t="shared" si="264"/>
        <v>237.67144331372765</v>
      </c>
      <c r="AI52" s="40">
        <f>AA52-OBSERVATIONS!$AO$12</f>
        <v>-81.837465411984397</v>
      </c>
      <c r="AJ52" s="44">
        <f>DEGREES(ASIN(SIN(RADIANS(OBSERVATIONS!$AO$12))*SIN(RADIANS(AA52))+COS(RADIANS(OBSERVATIONS!$AO$12))*COS(RADIANS(AA52))*COS(RADIANS(Y52))))</f>
        <v>-10.115780351310121</v>
      </c>
      <c r="AK52" s="44">
        <f t="shared" si="265"/>
        <v>-10.115780351310121</v>
      </c>
      <c r="AL52" s="37" t="s">
        <v>174</v>
      </c>
      <c r="AM52" s="44">
        <f t="shared" si="266"/>
        <v>237.67144331372765</v>
      </c>
      <c r="AN52" s="44">
        <f t="shared" si="267"/>
        <v>-10.115780351310121</v>
      </c>
      <c r="AO52" s="44"/>
      <c r="AP52" s="44"/>
      <c r="AQ52" s="44"/>
      <c r="AR52" s="44"/>
      <c r="AS52" s="40"/>
      <c r="AT52" s="44"/>
      <c r="AU52" s="40"/>
      <c r="AV52" s="44"/>
      <c r="AW52" s="40"/>
      <c r="AX52" s="44"/>
      <c r="AY52" s="40"/>
      <c r="AZ52" s="40"/>
      <c r="BA52" s="40"/>
      <c r="BB52" s="40"/>
      <c r="BC52" s="40"/>
      <c r="BD52" s="41"/>
      <c r="BF52" s="41"/>
      <c r="BH52" s="41"/>
      <c r="BI52" s="41"/>
      <c r="BJ52" s="41"/>
      <c r="BK52" s="41"/>
      <c r="BL52" s="41"/>
      <c r="BN52" s="41"/>
      <c r="BO52" s="41"/>
      <c r="BP52" s="41"/>
      <c r="BQ52" s="41"/>
      <c r="BX52" s="41"/>
      <c r="BZ52" s="41"/>
      <c r="CA52" s="41"/>
      <c r="CB52" s="41"/>
      <c r="CC52" s="41"/>
      <c r="CD52" s="41"/>
      <c r="CE52" s="41"/>
      <c r="CF52" s="41"/>
      <c r="CG52" s="41"/>
      <c r="CH52" s="41"/>
      <c r="CI52" s="41"/>
      <c r="CJ52" s="41"/>
      <c r="CL52" s="41"/>
      <c r="CM52" s="41"/>
      <c r="CN52" s="41"/>
      <c r="CO52" s="41"/>
      <c r="CP52" s="41"/>
      <c r="CR52" s="41"/>
      <c r="CS52" s="41"/>
      <c r="CT52" s="41"/>
      <c r="CU52" s="41"/>
      <c r="CV52" s="41"/>
      <c r="CW52" s="40"/>
      <c r="CX52" s="40"/>
      <c r="CY52" s="44"/>
      <c r="CZ52" s="40"/>
      <c r="DA52" s="40"/>
      <c r="DB52" s="40"/>
      <c r="DC52" s="40"/>
      <c r="DD52" s="47"/>
      <c r="DE52" s="47"/>
      <c r="DF52" s="47"/>
      <c r="DG52" s="48"/>
      <c r="DH52" s="47"/>
      <c r="DI52" s="47"/>
      <c r="DJ52" s="47"/>
      <c r="DK52" s="47"/>
      <c r="DL52" s="47"/>
      <c r="DM52" s="47"/>
      <c r="DN52" s="47"/>
      <c r="DO52" s="47"/>
      <c r="DP52" s="47"/>
      <c r="DQ52" s="47"/>
      <c r="DR52" s="47"/>
      <c r="DS52" s="47"/>
      <c r="DT52" s="47"/>
      <c r="DU52" s="47"/>
      <c r="DV52" s="47"/>
      <c r="DW52" s="47"/>
      <c r="DX52" s="47"/>
      <c r="DY52" s="47"/>
      <c r="DZ52" s="47"/>
      <c r="EA52" s="47"/>
      <c r="EB52" s="40"/>
      <c r="EC52" s="40"/>
      <c r="ED52" s="40"/>
      <c r="EE52" s="40"/>
      <c r="EF52" s="40"/>
      <c r="EG52" s="40"/>
      <c r="EH52" s="40"/>
      <c r="EI52" s="40"/>
      <c r="EJ52" s="40"/>
      <c r="EK52" s="40"/>
      <c r="EL52" s="40"/>
      <c r="EM52" s="40"/>
      <c r="EN52" s="40"/>
      <c r="EO52" s="40"/>
      <c r="EP52" s="40"/>
      <c r="EQ52" s="40"/>
      <c r="ER52" s="40"/>
      <c r="ES52" s="40"/>
      <c r="ET52" s="40"/>
      <c r="EU52" s="40"/>
      <c r="EV52" s="40"/>
      <c r="EW52" s="40"/>
      <c r="EX52" s="40"/>
      <c r="EY52" s="40"/>
      <c r="EZ52" s="40"/>
      <c r="FA52" s="40"/>
      <c r="FB52" s="40"/>
      <c r="FC52" s="40"/>
      <c r="FD52" s="40"/>
      <c r="FE52" s="40"/>
      <c r="FF52" s="40"/>
      <c r="FG52" s="40"/>
      <c r="FH52" s="40"/>
      <c r="FI52" s="40"/>
      <c r="FJ52" s="40"/>
      <c r="FK52" s="40"/>
      <c r="FL52" s="40"/>
      <c r="FM52" s="40"/>
      <c r="FN52" s="40"/>
      <c r="FO52" s="40"/>
    </row>
    <row r="53" spans="2:176" s="34" customFormat="1" ht="15" customHeight="1">
      <c r="B53" s="37" t="s">
        <v>182</v>
      </c>
      <c r="C53" s="34">
        <f>(17+10/60+20/3600)</f>
        <v>17.172222222222224</v>
      </c>
      <c r="D53" s="34">
        <f>-15-43.4/60</f>
        <v>-15.723333333333333</v>
      </c>
      <c r="E53" s="38">
        <f>MOD(360-(C53+((3.075+1.336*SIN(RADIANS(C53))*TAN(RADIANS(D53)))*(OBSERVATIONS!$U$35-36526)/365)/3600)*15,360)</f>
        <v>102.12409477464359</v>
      </c>
      <c r="F53" s="38">
        <f>D53+(20.04*COS(RADIANS(C53*15))*(OBSERVATIONS!$U$35-36526)/365)/3600</f>
        <v>-15.751689367962864</v>
      </c>
      <c r="G53" s="38">
        <f>-17.3*SIN(RADIANS(125-0.05295*(OBSERVATIONS!$U$35-2451545)))-1.4*SIN(RADIANS(200+1.97129*(OBSERVATIONS!$U$35-2451545)))</f>
        <v>-15.507213434549312</v>
      </c>
      <c r="H53" s="38">
        <f>9.4*COS(RADIANS(125-0.05295*(OBSERVATIONS!$U$35-2451545)))+0.7*COS(RADIANS(200+1.97129*(OBSERVATIONS!$U$35-2451545)))</f>
        <v>-2.1041300782981658</v>
      </c>
      <c r="I53" s="41">
        <f t="shared" si="250"/>
        <v>102.12601940475058</v>
      </c>
      <c r="J53" s="41">
        <f t="shared" si="251"/>
        <v>-15.751493486961538</v>
      </c>
      <c r="L53" s="39"/>
      <c r="N53" s="40"/>
      <c r="O53" s="42" t="s">
        <v>175</v>
      </c>
      <c r="P53" s="40">
        <v>0</v>
      </c>
      <c r="Q53" s="40"/>
      <c r="R53" s="40"/>
      <c r="S53" s="40"/>
      <c r="T53" s="40"/>
      <c r="U53" s="40"/>
      <c r="V53" s="40"/>
      <c r="W53" s="40"/>
      <c r="X53" s="40"/>
      <c r="Y53" s="40">
        <f>MOD(V$4+OBSERVATIONS!$AO$13+I46,360)</f>
        <v>45.524930075731277</v>
      </c>
      <c r="Z53" s="40">
        <f t="shared" si="260"/>
        <v>45.524930075731277</v>
      </c>
      <c r="AA53" s="40">
        <f t="shared" si="270"/>
        <v>-56.659637045254748</v>
      </c>
      <c r="AB53" s="40">
        <f t="shared" si="261"/>
        <v>0</v>
      </c>
      <c r="AC53" s="40">
        <f>ABS(TAN(RADIANS(ABS(OBSERVATIONS!$AO$12)))/TAN(RADIANS(ABS(Z53))))</f>
        <v>1.4325138664778114</v>
      </c>
      <c r="AD53" s="40">
        <f>IF(AB53=0,IF(OBSERVATIONS!$AY$35="N",-AC53,AC53),IF(OBSERVATIONS!$AY$35="N",AC53,-AC53))</f>
        <v>-1.4325138664778114</v>
      </c>
      <c r="AE53" s="40">
        <f t="shared" si="262"/>
        <v>-2.1302059977844428</v>
      </c>
      <c r="AF53" s="40">
        <f t="shared" si="263"/>
        <v>-3.5627198642622542</v>
      </c>
      <c r="AG53" s="40">
        <f>ABS(DEGREES(ATAN(1/(COS(RADIANS(ABS(OBSERVATIONS!$AO$12)))*AF53))))</f>
        <v>26.403396529937194</v>
      </c>
      <c r="AH53" s="40">
        <f t="shared" si="264"/>
        <v>206.4033965299372</v>
      </c>
      <c r="AI53" s="40">
        <f>AA53-OBSERVATIONS!$AO$12</f>
        <v>-112.23297037858808</v>
      </c>
      <c r="AJ53" s="44">
        <f>DEGREES(ASIN(SIN(RADIANS(OBSERVATIONS!$AO$12))*SIN(RADIANS(AA53))+COS(RADIANS(OBSERVATIONS!$AO$12))*COS(RADIANS(AA53))*COS(RADIANS(Y53))))</f>
        <v>-28.125500798804911</v>
      </c>
      <c r="AK53" s="44">
        <f t="shared" si="265"/>
        <v>-28.125500798804911</v>
      </c>
      <c r="AL53" s="37" t="s">
        <v>175</v>
      </c>
      <c r="AM53" s="44">
        <f t="shared" si="266"/>
        <v>206.4033965299372</v>
      </c>
      <c r="AN53" s="44">
        <f t="shared" si="267"/>
        <v>-28.125500798804911</v>
      </c>
      <c r="AO53" s="44"/>
      <c r="AP53" s="44"/>
      <c r="AQ53" s="44"/>
      <c r="AR53" s="44"/>
      <c r="AS53" s="40"/>
      <c r="AT53" s="44"/>
      <c r="AU53" s="40"/>
      <c r="AV53" s="44"/>
      <c r="AW53" s="40"/>
      <c r="AX53" s="44"/>
      <c r="AY53" s="40"/>
      <c r="AZ53" s="40"/>
      <c r="BA53" s="40"/>
      <c r="BB53" s="40"/>
      <c r="BC53" s="40"/>
      <c r="BD53" s="41"/>
      <c r="BF53" s="41"/>
      <c r="BH53" s="41"/>
      <c r="BI53" s="41"/>
      <c r="BJ53" s="41"/>
      <c r="BK53" s="41"/>
      <c r="BL53" s="41"/>
      <c r="BN53" s="41"/>
      <c r="BO53" s="41"/>
      <c r="BP53" s="41"/>
      <c r="BQ53" s="41"/>
      <c r="BX53" s="41"/>
      <c r="BZ53" s="41"/>
      <c r="CA53" s="41"/>
      <c r="CB53" s="41"/>
      <c r="CC53" s="41"/>
      <c r="CD53" s="41"/>
      <c r="CE53" s="41"/>
      <c r="CF53" s="41"/>
      <c r="CG53" s="41"/>
      <c r="CH53" s="41"/>
      <c r="CI53" s="41"/>
      <c r="CJ53" s="41"/>
      <c r="CL53" s="41"/>
      <c r="CM53" s="41"/>
      <c r="CN53" s="41"/>
      <c r="CO53" s="41"/>
      <c r="CP53" s="41"/>
      <c r="CR53" s="41"/>
      <c r="CS53" s="41"/>
      <c r="CT53" s="41"/>
      <c r="CU53" s="41"/>
      <c r="CV53" s="41"/>
      <c r="CW53" s="40"/>
      <c r="CX53" s="40"/>
      <c r="CY53" s="44"/>
      <c r="CZ53" s="40"/>
      <c r="DA53" s="40"/>
      <c r="DB53" s="40"/>
      <c r="DC53" s="40"/>
      <c r="DD53" s="47"/>
      <c r="DE53" s="47"/>
      <c r="DF53" s="47"/>
      <c r="DG53" s="48"/>
      <c r="DH53" s="47"/>
      <c r="DI53" s="47"/>
      <c r="DJ53" s="47"/>
      <c r="DK53" s="47"/>
      <c r="DL53" s="47"/>
      <c r="DM53" s="47"/>
      <c r="DN53" s="47"/>
      <c r="DO53" s="47"/>
      <c r="DP53" s="47"/>
      <c r="DQ53" s="47"/>
      <c r="DR53" s="47"/>
      <c r="DS53" s="47"/>
      <c r="DT53" s="47"/>
      <c r="DU53" s="47"/>
      <c r="DV53" s="47"/>
      <c r="DW53" s="47"/>
      <c r="DX53" s="47"/>
      <c r="DY53" s="47"/>
      <c r="DZ53" s="47"/>
      <c r="EA53" s="47"/>
      <c r="EB53" s="40"/>
      <c r="EC53" s="40"/>
      <c r="ED53" s="40"/>
      <c r="EE53" s="40"/>
      <c r="EF53" s="40"/>
      <c r="EG53" s="40"/>
      <c r="EH53" s="40"/>
      <c r="EI53" s="40"/>
      <c r="EJ53" s="40"/>
      <c r="EK53" s="40"/>
      <c r="EL53" s="40"/>
      <c r="EM53" s="40"/>
      <c r="EN53" s="40"/>
      <c r="EO53" s="40"/>
      <c r="EP53" s="40"/>
      <c r="EQ53" s="40"/>
      <c r="ER53" s="40"/>
      <c r="ES53" s="40"/>
      <c r="ET53" s="40"/>
      <c r="EU53" s="40"/>
      <c r="EV53" s="40"/>
      <c r="EW53" s="40"/>
      <c r="EX53" s="40"/>
      <c r="EY53" s="40"/>
      <c r="EZ53" s="40"/>
      <c r="FA53" s="40"/>
      <c r="FB53" s="40"/>
      <c r="FC53" s="40"/>
      <c r="FD53" s="40"/>
      <c r="FE53" s="40"/>
      <c r="FF53" s="40"/>
      <c r="FG53" s="40"/>
      <c r="FH53" s="40"/>
      <c r="FI53" s="40"/>
      <c r="FJ53" s="40"/>
      <c r="FK53" s="40"/>
      <c r="FL53" s="40"/>
      <c r="FM53" s="40"/>
      <c r="FN53" s="40"/>
      <c r="FO53" s="40"/>
    </row>
    <row r="54" spans="2:176" s="34" customFormat="1" ht="15" customHeight="1">
      <c r="B54" s="37" t="s">
        <v>183</v>
      </c>
      <c r="C54" s="34">
        <f>(0+40/60+30/3600)</f>
        <v>0.67499999999999993</v>
      </c>
      <c r="D54" s="34">
        <f>56+32.4/60</f>
        <v>56.54</v>
      </c>
      <c r="E54" s="38">
        <f>MOD(360-(C54+((3.075+1.336*SIN(RADIANS(C54))*TAN(RADIANS(D54)))*(OBSERVATIONS!$U$35-36526)/365)/3600)*15,360)</f>
        <v>349.56911581354564</v>
      </c>
      <c r="F54" s="38">
        <f>D54+(20.04*COS(RADIANS(C54*15))*(OBSERVATIONS!$U$35-36526)/365)/3600</f>
        <v>56.669822849426815</v>
      </c>
      <c r="G54" s="38">
        <f>-17.3*SIN(RADIANS(125-0.05295*(OBSERVATIONS!$U$35-2451545)))-1.4*SIN(RADIANS(200+1.97129*(OBSERVATIONS!$U$35-2451545)))</f>
        <v>-15.507213434549312</v>
      </c>
      <c r="H54" s="38">
        <f>9.4*COS(RADIANS(125-0.05295*(OBSERVATIONS!$U$35-2451545)))+0.7*COS(RADIANS(200+1.97129*(OBSERVATIONS!$U$35-2451545)))</f>
        <v>-2.1041300782981658</v>
      </c>
      <c r="I54" s="41">
        <f t="shared" si="250"/>
        <v>349.5697885479558</v>
      </c>
      <c r="J54" s="41">
        <f t="shared" si="251"/>
        <v>56.66812910256084</v>
      </c>
      <c r="L54" s="39"/>
      <c r="N54" s="40"/>
      <c r="O54" s="42" t="s">
        <v>176</v>
      </c>
      <c r="P54" s="40">
        <v>0</v>
      </c>
      <c r="Q54" s="40"/>
      <c r="R54" s="40"/>
      <c r="S54" s="40"/>
      <c r="T54" s="40"/>
      <c r="U54" s="40"/>
      <c r="V54" s="40"/>
      <c r="W54" s="40"/>
      <c r="X54" s="40"/>
      <c r="Y54" s="40">
        <f>MOD(V$4+OBSERVATIONS!$AO$13+I47,360)</f>
        <v>235.50503378852295</v>
      </c>
      <c r="Z54" s="40">
        <f t="shared" si="260"/>
        <v>124.49496621147705</v>
      </c>
      <c r="AA54" s="40">
        <f t="shared" si="270"/>
        <v>27.967181740537971</v>
      </c>
      <c r="AB54" s="40">
        <f t="shared" si="261"/>
        <v>1</v>
      </c>
      <c r="AC54" s="40">
        <f>ABS(TAN(RADIANS(ABS(OBSERVATIONS!$AO$12)))/TAN(RADIANS(ABS(Z54))))</f>
        <v>1.0025583325599201</v>
      </c>
      <c r="AD54" s="40">
        <f>IF(AB54=0,IF(OBSERVATIONS!$AY$35="N",-AC54,AC54),IF(OBSERVATIONS!$AY$35="N",AC54,-AC54))</f>
        <v>1.0025583325599201</v>
      </c>
      <c r="AE54" s="40">
        <f t="shared" si="262"/>
        <v>0.6442494890989694</v>
      </c>
      <c r="AF54" s="40">
        <f t="shared" si="263"/>
        <v>1.6468078216588895</v>
      </c>
      <c r="AG54" s="40">
        <f>ABS(DEGREES(ATAN(1/(COS(RADIANS(ABS(OBSERVATIONS!$AO$12)))*AF54))))</f>
        <v>47.045718092473386</v>
      </c>
      <c r="AH54" s="40">
        <f t="shared" si="264"/>
        <v>47.045718092473386</v>
      </c>
      <c r="AI54" s="40">
        <f>AA54-OBSERVATIONS!$AO$12</f>
        <v>-27.60615159279536</v>
      </c>
      <c r="AJ54" s="44">
        <f>DEGREES(ASIN(SIN(RADIANS(OBSERVATIONS!$AO$12))*SIN(RADIANS(AA54))+COS(RADIANS(OBSERVATIONS!$AO$12))*COS(RADIANS(AA54))*COS(RADIANS(Y54))))</f>
        <v>5.9719008021029776</v>
      </c>
      <c r="AK54" s="44">
        <f t="shared" si="265"/>
        <v>5.9719008021029776</v>
      </c>
      <c r="AL54" s="37" t="s">
        <v>176</v>
      </c>
      <c r="AM54" s="44">
        <f t="shared" si="266"/>
        <v>47.045718092473386</v>
      </c>
      <c r="AN54" s="44">
        <f t="shared" si="267"/>
        <v>5.9719008021029776</v>
      </c>
      <c r="AO54" s="44"/>
      <c r="AP54" s="44"/>
      <c r="AQ54" s="44"/>
      <c r="AR54" s="44"/>
      <c r="AS54" s="40"/>
      <c r="AT54" s="44"/>
      <c r="AU54" s="40"/>
      <c r="AV54" s="44"/>
      <c r="AW54" s="40"/>
      <c r="AX54" s="44"/>
      <c r="AY54" s="40"/>
      <c r="AZ54" s="40"/>
      <c r="BA54" s="40"/>
      <c r="BB54" s="40"/>
      <c r="BC54" s="40"/>
      <c r="BD54" s="41"/>
      <c r="BF54" s="41"/>
      <c r="BH54" s="41"/>
      <c r="BI54" s="41"/>
      <c r="BJ54" s="41"/>
      <c r="BK54" s="41"/>
      <c r="BL54" s="41"/>
      <c r="BN54" s="41"/>
      <c r="BO54" s="41"/>
      <c r="BP54" s="41"/>
      <c r="BQ54" s="41"/>
      <c r="BX54" s="41"/>
      <c r="BZ54" s="41"/>
      <c r="CA54" s="41"/>
      <c r="CB54" s="41"/>
      <c r="CC54" s="41"/>
      <c r="CD54" s="41"/>
      <c r="CE54" s="41"/>
      <c r="CF54" s="41"/>
      <c r="CG54" s="41"/>
      <c r="CH54" s="41"/>
      <c r="CI54" s="41"/>
      <c r="CJ54" s="41"/>
      <c r="CL54" s="41"/>
      <c r="CM54" s="41"/>
      <c r="CN54" s="41"/>
      <c r="CO54" s="41"/>
      <c r="CP54" s="41"/>
      <c r="CR54" s="41"/>
      <c r="CS54" s="41"/>
      <c r="CT54" s="41"/>
      <c r="CU54" s="41"/>
      <c r="CV54" s="41"/>
      <c r="CW54" s="40"/>
      <c r="CX54" s="40"/>
      <c r="CY54" s="44"/>
      <c r="CZ54" s="40"/>
      <c r="DA54" s="40"/>
      <c r="DB54" s="40"/>
      <c r="DC54" s="40"/>
      <c r="DD54" s="47"/>
      <c r="DE54" s="47"/>
      <c r="DF54" s="47"/>
      <c r="DG54" s="48"/>
      <c r="DH54" s="47"/>
      <c r="DI54" s="47"/>
      <c r="DJ54" s="47"/>
      <c r="DK54" s="47"/>
      <c r="DL54" s="47"/>
      <c r="DM54" s="47"/>
      <c r="DN54" s="47"/>
      <c r="DO54" s="47"/>
      <c r="DP54" s="47"/>
      <c r="DQ54" s="47"/>
      <c r="DR54" s="47"/>
      <c r="DS54" s="47"/>
      <c r="DT54" s="47"/>
      <c r="DU54" s="47"/>
      <c r="DV54" s="47"/>
      <c r="DW54" s="47"/>
      <c r="DX54" s="47"/>
      <c r="DY54" s="47"/>
      <c r="DZ54" s="47"/>
      <c r="EA54" s="47"/>
      <c r="EB54" s="40"/>
      <c r="EC54" s="40"/>
      <c r="ED54" s="40"/>
      <c r="EE54" s="40"/>
      <c r="EF54" s="40"/>
      <c r="EG54" s="40"/>
      <c r="EH54" s="40"/>
      <c r="EI54" s="40"/>
      <c r="EJ54" s="40"/>
      <c r="EK54" s="40"/>
      <c r="EL54" s="40"/>
      <c r="EM54" s="40"/>
      <c r="EN54" s="40"/>
      <c r="EO54" s="40"/>
      <c r="EP54" s="40"/>
      <c r="EQ54" s="40"/>
      <c r="ER54" s="40"/>
      <c r="ES54" s="40"/>
      <c r="ET54" s="40"/>
      <c r="EU54" s="40"/>
      <c r="EV54" s="40"/>
      <c r="EW54" s="40"/>
      <c r="EX54" s="40"/>
      <c r="EY54" s="40"/>
      <c r="EZ54" s="40"/>
      <c r="FA54" s="40"/>
      <c r="FB54" s="40"/>
      <c r="FC54" s="40"/>
      <c r="FD54" s="40"/>
      <c r="FE54" s="40"/>
      <c r="FF54" s="40"/>
      <c r="FG54" s="40"/>
      <c r="FH54" s="40"/>
      <c r="FI54" s="40"/>
      <c r="FJ54" s="40"/>
      <c r="FK54" s="40"/>
      <c r="FL54" s="40"/>
      <c r="FM54" s="40"/>
      <c r="FN54" s="40"/>
      <c r="FO54" s="40"/>
    </row>
    <row r="55" spans="2:176" s="34" customFormat="1" ht="15" customHeight="1">
      <c r="B55" s="37" t="s">
        <v>184</v>
      </c>
      <c r="C55" s="34">
        <f>(17+33/60+34/3600)</f>
        <v>17.559444444444445</v>
      </c>
      <c r="D55" s="34">
        <f>-37-6.1/60</f>
        <v>-37.101666666666667</v>
      </c>
      <c r="E55" s="38">
        <f>MOD(360-(C55+((3.075+1.336*SIN(RADIANS(C55))*TAN(RADIANS(D55)))*(OBSERVATIONS!$U$35-36526)/365)/3600)*15,360)</f>
        <v>96.334892080864279</v>
      </c>
      <c r="F55" s="38">
        <f>D55+(20.04*COS(RADIANS(C55*15))*(OBSERVATIONS!$U$35-36526)/365)/3600</f>
        <v>-37.116843243103354</v>
      </c>
      <c r="G55" s="38">
        <f>-17.3*SIN(RADIANS(125-0.05295*(OBSERVATIONS!$U$35-2451545)))-1.4*SIN(RADIANS(200+1.97129*(OBSERVATIONS!$U$35-2451545)))</f>
        <v>-15.507213434549312</v>
      </c>
      <c r="H55" s="38">
        <f>9.4*COS(RADIANS(125-0.05295*(OBSERVATIONS!$U$35-2451545)))+0.7*COS(RADIANS(200+1.97129*(OBSERVATIONS!$U$35-2451545)))</f>
        <v>-2.1041300782981658</v>
      </c>
      <c r="I55" s="41">
        <f t="shared" si="250"/>
        <v>96.33463390313662</v>
      </c>
      <c r="J55" s="41">
        <f t="shared" si="251"/>
        <v>-37.116822380250596</v>
      </c>
      <c r="L55" s="39"/>
      <c r="N55" s="40"/>
      <c r="O55" s="42" t="s">
        <v>177</v>
      </c>
      <c r="P55" s="40">
        <v>0</v>
      </c>
      <c r="Q55" s="40"/>
      <c r="R55" s="40"/>
      <c r="S55" s="40"/>
      <c r="T55" s="40"/>
      <c r="U55" s="40"/>
      <c r="V55" s="40"/>
      <c r="W55" s="40"/>
      <c r="X55" s="40"/>
      <c r="Y55" s="40">
        <f>MOD(V$4+OBSERVATIONS!$AO$13+I48,360)</f>
        <v>237.0183815214591</v>
      </c>
      <c r="Z55" s="40">
        <f t="shared" si="260"/>
        <v>122.9816184785409</v>
      </c>
      <c r="AA55" s="40">
        <f t="shared" si="270"/>
        <v>5.1702648250575951</v>
      </c>
      <c r="AB55" s="40">
        <f t="shared" si="261"/>
        <v>1</v>
      </c>
      <c r="AC55" s="40">
        <f>ABS(TAN(RADIANS(ABS(OBSERVATIONS!$AO$12)))/TAN(RADIANS(ABS(Z55))))</f>
        <v>0.94682424525811493</v>
      </c>
      <c r="AD55" s="40">
        <f>IF(AB55=0,IF(OBSERVATIONS!$AY$35="N",-AC55,AC55),IF(OBSERVATIONS!$AY$35="N",AC55,-AC55))</f>
        <v>0.94682424525811493</v>
      </c>
      <c r="AE55" s="40">
        <f t="shared" si="262"/>
        <v>0.10786718811933201</v>
      </c>
      <c r="AF55" s="40">
        <f t="shared" si="263"/>
        <v>1.0546914333774469</v>
      </c>
      <c r="AG55" s="40">
        <f>ABS(DEGREES(ATAN(1/(COS(RADIANS(ABS(OBSERVATIONS!$AO$12)))*AF55))))</f>
        <v>59.193609435631735</v>
      </c>
      <c r="AH55" s="40">
        <f t="shared" si="264"/>
        <v>59.193609435631735</v>
      </c>
      <c r="AI55" s="40">
        <f>AA55-OBSERVATIONS!$AO$12</f>
        <v>-50.403068508275737</v>
      </c>
      <c r="AJ55" s="44">
        <f>DEGREES(ASIN(SIN(RADIANS(OBSERVATIONS!$AO$12))*SIN(RADIANS(AA55))+COS(RADIANS(OBSERVATIONS!$AO$12))*COS(RADIANS(AA55))*COS(RADIANS(Y55))))</f>
        <v>-13.425209613730075</v>
      </c>
      <c r="AK55" s="44">
        <f t="shared" si="265"/>
        <v>-13.425209613730075</v>
      </c>
      <c r="AL55" s="37" t="s">
        <v>177</v>
      </c>
      <c r="AM55" s="44">
        <f t="shared" si="266"/>
        <v>59.193609435631735</v>
      </c>
      <c r="AN55" s="44">
        <f t="shared" si="267"/>
        <v>-13.425209613730075</v>
      </c>
      <c r="AO55" s="44"/>
      <c r="AP55" s="44"/>
      <c r="AQ55" s="44"/>
      <c r="AR55" s="44"/>
      <c r="AS55" s="40"/>
      <c r="AT55" s="44"/>
      <c r="AU55" s="40"/>
      <c r="AV55" s="44"/>
      <c r="AW55" s="40"/>
      <c r="AX55" s="44"/>
      <c r="AY55" s="40"/>
      <c r="AZ55" s="40"/>
      <c r="BA55" s="40"/>
      <c r="BB55" s="40"/>
      <c r="BC55" s="40"/>
      <c r="BD55" s="41"/>
      <c r="BF55" s="41"/>
      <c r="BH55" s="41"/>
      <c r="BI55" s="41"/>
      <c r="BJ55" s="41"/>
      <c r="BK55" s="41"/>
      <c r="BL55" s="41"/>
      <c r="BN55" s="41"/>
      <c r="BO55" s="41"/>
      <c r="BP55" s="41"/>
      <c r="BQ55" s="41"/>
      <c r="BX55" s="41"/>
      <c r="BZ55" s="41"/>
      <c r="CA55" s="41"/>
      <c r="CB55" s="41"/>
      <c r="CC55" s="41"/>
      <c r="CD55" s="41"/>
      <c r="CE55" s="41"/>
      <c r="CF55" s="41"/>
      <c r="CG55" s="41"/>
      <c r="CH55" s="41"/>
      <c r="CI55" s="41"/>
      <c r="CJ55" s="41"/>
      <c r="CL55" s="41"/>
      <c r="CM55" s="41"/>
      <c r="CN55" s="41"/>
      <c r="CO55" s="41"/>
      <c r="CP55" s="41"/>
      <c r="CR55" s="41"/>
      <c r="CS55" s="41"/>
      <c r="CT55" s="41"/>
      <c r="CU55" s="41"/>
      <c r="CV55" s="41"/>
      <c r="CW55" s="40"/>
      <c r="CX55" s="40"/>
      <c r="CY55" s="44"/>
      <c r="CZ55" s="40"/>
      <c r="DA55" s="40"/>
      <c r="DB55" s="40"/>
      <c r="DC55" s="40"/>
      <c r="DD55" s="47"/>
      <c r="DE55" s="47"/>
      <c r="DF55" s="47"/>
      <c r="DG55" s="48"/>
      <c r="DH55" s="47"/>
      <c r="DI55" s="47"/>
      <c r="DJ55" s="47"/>
      <c r="DK55" s="47"/>
      <c r="DL55" s="47"/>
      <c r="DM55" s="47"/>
      <c r="DN55" s="47"/>
      <c r="DO55" s="47"/>
      <c r="DP55" s="47"/>
      <c r="DQ55" s="47"/>
      <c r="DR55" s="47"/>
      <c r="DS55" s="47"/>
      <c r="DT55" s="47"/>
      <c r="DU55" s="47"/>
      <c r="DV55" s="47"/>
      <c r="DW55" s="47"/>
      <c r="DX55" s="47"/>
      <c r="DY55" s="47"/>
      <c r="DZ55" s="47"/>
      <c r="EA55" s="47"/>
      <c r="EB55" s="40"/>
      <c r="EC55" s="40"/>
      <c r="ED55" s="40"/>
      <c r="EE55" s="40"/>
      <c r="EF55" s="40"/>
      <c r="EG55" s="40"/>
      <c r="EH55" s="40"/>
      <c r="EI55" s="40"/>
      <c r="EJ55" s="40"/>
      <c r="EK55" s="40"/>
      <c r="EL55" s="40"/>
      <c r="EM55" s="40"/>
      <c r="EN55" s="40"/>
      <c r="EO55" s="40"/>
      <c r="EP55" s="40"/>
      <c r="EQ55" s="40"/>
      <c r="ER55" s="40"/>
      <c r="ES55" s="40"/>
      <c r="ET55" s="40"/>
      <c r="EU55" s="40"/>
      <c r="EV55" s="40"/>
      <c r="EW55" s="40"/>
      <c r="EX55" s="40"/>
      <c r="EY55" s="40"/>
      <c r="EZ55" s="40"/>
      <c r="FA55" s="40"/>
      <c r="FB55" s="40"/>
      <c r="FC55" s="40"/>
      <c r="FD55" s="40"/>
      <c r="FE55" s="40"/>
      <c r="FF55" s="40"/>
      <c r="FG55" s="40"/>
      <c r="FH55" s="40"/>
      <c r="FI55" s="40"/>
      <c r="FJ55" s="40"/>
      <c r="FK55" s="40"/>
      <c r="FL55" s="40"/>
      <c r="FM55" s="40"/>
      <c r="FN55" s="40"/>
      <c r="FO55" s="40"/>
    </row>
    <row r="56" spans="2:176" s="34" customFormat="1" ht="15" customHeight="1">
      <c r="B56" s="37" t="s">
        <v>185</v>
      </c>
      <c r="C56" s="34">
        <f>(6+45/60+10/3600)</f>
        <v>6.7527777777777782</v>
      </c>
      <c r="D56" s="34">
        <f>-16-42.9/60</f>
        <v>-16.715</v>
      </c>
      <c r="E56" s="38">
        <f>MOD(360-(C56+((3.075+1.336*SIN(RADIANS(C56))*TAN(RADIANS(D56)))*(OBSERVATIONS!$U$35-36526)/365)/3600)*15,360)</f>
        <v>258.4094566265079</v>
      </c>
      <c r="F56" s="38">
        <f>D56+(20.04*COS(RADIANS(C56*15))*(OBSERVATIONS!$U$35-36526)/365)/3600</f>
        <v>-16.740821906275276</v>
      </c>
      <c r="G56" s="38">
        <f>-17.3*SIN(RADIANS(125-0.05295*(OBSERVATIONS!$U$35-2451545)))-1.4*SIN(RADIANS(200+1.97129*(OBSERVATIONS!$U$35-2451545)))</f>
        <v>-15.507213434549312</v>
      </c>
      <c r="H56" s="38">
        <f>9.4*COS(RADIANS(125-0.05295*(OBSERVATIONS!$U$35-2451545)))+0.7*COS(RADIANS(200+1.97129*(OBSERVATIONS!$U$35-2451545)))</f>
        <v>-2.1041300782981658</v>
      </c>
      <c r="I56" s="41">
        <f t="shared" si="250"/>
        <v>258.41061342836502</v>
      </c>
      <c r="J56" s="41">
        <f t="shared" si="251"/>
        <v>-16.740555114194482</v>
      </c>
      <c r="L56" s="39"/>
      <c r="N56" s="40"/>
      <c r="O56" s="42" t="s">
        <v>178</v>
      </c>
      <c r="P56" s="40">
        <v>0</v>
      </c>
      <c r="Q56" s="40"/>
      <c r="R56" s="40"/>
      <c r="S56" s="40"/>
      <c r="T56" s="40"/>
      <c r="U56" s="40"/>
      <c r="V56" s="40"/>
      <c r="W56" s="40"/>
      <c r="X56" s="40"/>
      <c r="Y56" s="40">
        <f>MOD(V$4+OBSERVATIONS!$AO$13+I49,360)</f>
        <v>88.114133780694601</v>
      </c>
      <c r="Z56" s="40">
        <f t="shared" si="260"/>
        <v>88.114133780694601</v>
      </c>
      <c r="AA56" s="40">
        <f t="shared" si="270"/>
        <v>12.547263213096711</v>
      </c>
      <c r="AB56" s="40">
        <f t="shared" si="261"/>
        <v>0</v>
      </c>
      <c r="AC56" s="40">
        <f>ABS(TAN(RADIANS(ABS(OBSERVATIONS!$AO$12)))/TAN(RADIANS(ABS(Z56))))</f>
        <v>4.8039912111067617E-2</v>
      </c>
      <c r="AD56" s="40">
        <f>IF(AB56=0,IF(OBSERVATIONS!$AY$35="N",-AC56,AC56),IF(OBSERVATIONS!$AY$35="N",AC56,-AC56))</f>
        <v>-4.8039912111067617E-2</v>
      </c>
      <c r="AE56" s="40">
        <f t="shared" si="262"/>
        <v>0.22268087428672564</v>
      </c>
      <c r="AF56" s="40">
        <f t="shared" si="263"/>
        <v>0.17464096217565803</v>
      </c>
      <c r="AG56" s="40">
        <f>ABS(DEGREES(ATAN(1/(COS(RADIANS(ABS(OBSERVATIONS!$AO$12)))*AF56))))</f>
        <v>84.361266052500312</v>
      </c>
      <c r="AH56" s="40">
        <f t="shared" si="264"/>
        <v>275.6387339474997</v>
      </c>
      <c r="AI56" s="40">
        <f>AA56-OBSERVATIONS!$AO$12</f>
        <v>-43.026070120236618</v>
      </c>
      <c r="AJ56" s="44">
        <f>DEGREES(ASIN(SIN(RADIANS(OBSERVATIONS!$AO$12))*SIN(RADIANS(AA56))+COS(RADIANS(OBSERVATIONS!$AO$12))*COS(RADIANS(AA56))*COS(RADIANS(Y56))))</f>
        <v>11.382336798467955</v>
      </c>
      <c r="AK56" s="44">
        <f t="shared" si="265"/>
        <v>11.382336798467955</v>
      </c>
      <c r="AL56" s="37" t="s">
        <v>178</v>
      </c>
      <c r="AM56" s="44">
        <f t="shared" si="266"/>
        <v>275.6387339474997</v>
      </c>
      <c r="AN56" s="44">
        <f t="shared" si="267"/>
        <v>11.382336798467955</v>
      </c>
      <c r="AO56" s="44"/>
      <c r="AP56" s="44"/>
      <c r="AQ56" s="44"/>
      <c r="AR56" s="44"/>
      <c r="AS56" s="40"/>
      <c r="AT56" s="44"/>
      <c r="AU56" s="40"/>
      <c r="AV56" s="44"/>
      <c r="AW56" s="40"/>
      <c r="AX56" s="44"/>
      <c r="AY56" s="40"/>
      <c r="AZ56" s="40"/>
      <c r="BA56" s="40"/>
      <c r="BB56" s="40"/>
      <c r="BC56" s="40"/>
      <c r="BD56" s="41"/>
      <c r="BF56" s="41"/>
      <c r="BH56" s="41"/>
      <c r="BI56" s="41"/>
      <c r="BJ56" s="41"/>
      <c r="BK56" s="41"/>
      <c r="BL56" s="41"/>
      <c r="BN56" s="41"/>
      <c r="BO56" s="41"/>
      <c r="BP56" s="41"/>
      <c r="BQ56" s="41"/>
      <c r="BX56" s="41"/>
      <c r="BZ56" s="41"/>
      <c r="CA56" s="41"/>
      <c r="CB56" s="41"/>
      <c r="CC56" s="41"/>
      <c r="CD56" s="41"/>
      <c r="CE56" s="41"/>
      <c r="CF56" s="41"/>
      <c r="CG56" s="41"/>
      <c r="CH56" s="41"/>
      <c r="CI56" s="41"/>
      <c r="CJ56" s="41"/>
      <c r="CL56" s="41"/>
      <c r="CM56" s="41"/>
      <c r="CN56" s="41"/>
      <c r="CO56" s="41"/>
      <c r="CP56" s="41"/>
      <c r="CR56" s="41"/>
      <c r="CS56" s="41"/>
      <c r="CT56" s="41"/>
      <c r="CU56" s="41"/>
      <c r="CV56" s="41"/>
      <c r="CW56" s="40"/>
      <c r="CX56" s="40"/>
      <c r="CY56" s="44"/>
      <c r="CZ56" s="40"/>
      <c r="DA56" s="40"/>
      <c r="DB56" s="40"/>
      <c r="DC56" s="40"/>
      <c r="DD56" s="47"/>
      <c r="DE56" s="47"/>
      <c r="DF56" s="47"/>
      <c r="DG56" s="48"/>
      <c r="DH56" s="47"/>
      <c r="DI56" s="47"/>
      <c r="DJ56" s="47"/>
      <c r="DK56" s="47"/>
      <c r="DL56" s="47"/>
      <c r="DM56" s="47"/>
      <c r="DN56" s="47"/>
      <c r="DO56" s="47"/>
      <c r="DP56" s="47"/>
      <c r="DQ56" s="47"/>
      <c r="DR56" s="47"/>
      <c r="DS56" s="47"/>
      <c r="DT56" s="47"/>
      <c r="DU56" s="47"/>
      <c r="DV56" s="47"/>
      <c r="DW56" s="47"/>
      <c r="DX56" s="47"/>
      <c r="DY56" s="47"/>
      <c r="DZ56" s="47"/>
      <c r="EA56" s="47"/>
      <c r="EB56" s="40"/>
      <c r="EC56" s="40"/>
      <c r="ED56" s="40"/>
      <c r="EE56" s="40"/>
      <c r="EF56" s="40"/>
      <c r="EG56" s="40"/>
      <c r="EH56" s="40"/>
      <c r="EI56" s="40"/>
      <c r="EJ56" s="40"/>
      <c r="EK56" s="40"/>
      <c r="EL56" s="40"/>
      <c r="EM56" s="40"/>
      <c r="EN56" s="40"/>
      <c r="EO56" s="40"/>
      <c r="EP56" s="40"/>
      <c r="EQ56" s="40"/>
      <c r="ER56" s="40"/>
      <c r="ES56" s="40"/>
      <c r="ET56" s="40"/>
      <c r="EU56" s="40"/>
      <c r="EV56" s="40"/>
      <c r="EW56" s="40"/>
      <c r="EX56" s="40"/>
      <c r="EY56" s="40"/>
      <c r="EZ56" s="40"/>
      <c r="FA56" s="40"/>
      <c r="FB56" s="40"/>
      <c r="FC56" s="40"/>
      <c r="FD56" s="40"/>
      <c r="FE56" s="40"/>
      <c r="FF56" s="40"/>
      <c r="FG56" s="40"/>
      <c r="FH56" s="40"/>
      <c r="FI56" s="40"/>
      <c r="FJ56" s="40"/>
      <c r="FK56" s="40"/>
      <c r="FL56" s="40"/>
      <c r="FM56" s="40"/>
      <c r="FN56" s="40"/>
      <c r="FO56" s="40"/>
    </row>
    <row r="57" spans="2:176" s="34" customFormat="1" ht="15" customHeight="1">
      <c r="B57" s="37" t="s">
        <v>186</v>
      </c>
      <c r="C57" s="34">
        <f>(13+25/60+11/3600)</f>
        <v>13.419722222222221</v>
      </c>
      <c r="D57" s="34">
        <f>-11-9.5/60</f>
        <v>-11.158333333333333</v>
      </c>
      <c r="E57" s="38">
        <f>MOD(360-(C57+((3.075+1.336*SIN(RADIANS(C57))*TAN(RADIANS(D57)))*(OBSERVATIONS!$U$35-36526)/365)/3600)*15,360)</f>
        <v>158.40667035746492</v>
      </c>
      <c r="F57" s="38">
        <f>D57+(20.04*COS(RADIANS(C57*15))*(OBSERVATIONS!$U$35-36526)/365)/3600</f>
        <v>-11.281205107624279</v>
      </c>
      <c r="G57" s="38">
        <f>-17.3*SIN(RADIANS(125-0.05295*(OBSERVATIONS!$U$35-2451545)))-1.4*SIN(RADIANS(200+1.97129*(OBSERVATIONS!$U$35-2451545)))</f>
        <v>-15.507213434549312</v>
      </c>
      <c r="H57" s="38">
        <f>9.4*COS(RADIANS(125-0.05295*(OBSERVATIONS!$U$35-2451545)))+0.7*COS(RADIANS(200+1.97129*(OBSERVATIONS!$U$35-2451545)))</f>
        <v>-2.1041300782981658</v>
      </c>
      <c r="I57" s="41">
        <f t="shared" si="250"/>
        <v>158.40812732132784</v>
      </c>
      <c r="J57" s="41">
        <f t="shared" si="251"/>
        <v>-11.279744213427879</v>
      </c>
      <c r="L57" s="39"/>
      <c r="N57" s="40"/>
      <c r="O57" s="42" t="s">
        <v>179</v>
      </c>
      <c r="P57" s="40">
        <v>0</v>
      </c>
      <c r="Q57" s="40"/>
      <c r="R57" s="40"/>
      <c r="S57" s="40"/>
      <c r="T57" s="40"/>
      <c r="U57" s="40"/>
      <c r="V57" s="40"/>
      <c r="W57" s="40"/>
      <c r="X57" s="40"/>
      <c r="Y57" s="40">
        <f>MOD(V$4+OBSERVATIONS!$AO$13+I50,360)</f>
        <v>199.75187865549958</v>
      </c>
      <c r="Z57" s="40">
        <f t="shared" si="260"/>
        <v>160.24812134450042</v>
      </c>
      <c r="AA57" s="40">
        <f t="shared" si="270"/>
        <v>11.851538980874237</v>
      </c>
      <c r="AB57" s="40">
        <f t="shared" si="261"/>
        <v>1</v>
      </c>
      <c r="AC57" s="40">
        <f>ABS(TAN(RADIANS(ABS(OBSERVATIONS!$AO$12)))/TAN(RADIANS(ABS(Z57))))</f>
        <v>4.0632494210819692</v>
      </c>
      <c r="AD57" s="40">
        <f>IF(AB57=0,IF(OBSERVATIONS!$AY$35="N",-AC57,AC57),IF(OBSERVATIONS!$AY$35="N",AC57,-AC57))</f>
        <v>4.0632494210819692</v>
      </c>
      <c r="AE57" s="40">
        <f t="shared" si="262"/>
        <v>0.62095383544647664</v>
      </c>
      <c r="AF57" s="40">
        <f t="shared" si="263"/>
        <v>4.6842032565284457</v>
      </c>
      <c r="AG57" s="40">
        <f>ABS(DEGREES(ATAN(1/(COS(RADIANS(ABS(OBSERVATIONS!$AO$12)))*AF57))))</f>
        <v>20.68715306978411</v>
      </c>
      <c r="AH57" s="40">
        <f t="shared" si="264"/>
        <v>20.68715306978411</v>
      </c>
      <c r="AI57" s="40">
        <f>AA57-OBSERVATIONS!$AO$12</f>
        <v>-43.721794352459092</v>
      </c>
      <c r="AJ57" s="44">
        <f>DEGREES(ASIN(SIN(RADIANS(OBSERVATIONS!$AO$12))*SIN(RADIANS(AA57))+COS(RADIANS(OBSERVATIONS!$AO$12))*COS(RADIANS(AA57))*COS(RADIANS(Y57))))</f>
        <v>-20.569365401855176</v>
      </c>
      <c r="AK57" s="44">
        <f t="shared" si="265"/>
        <v>-20.569365401855176</v>
      </c>
      <c r="AL57" s="37" t="s">
        <v>179</v>
      </c>
      <c r="AM57" s="44">
        <f t="shared" si="266"/>
        <v>20.68715306978411</v>
      </c>
      <c r="AN57" s="44">
        <f t="shared" si="267"/>
        <v>-20.569365401855176</v>
      </c>
      <c r="AO57" s="44"/>
      <c r="AP57" s="44"/>
      <c r="AQ57" s="44"/>
      <c r="AR57" s="44"/>
      <c r="AS57" s="40"/>
      <c r="AT57" s="44"/>
      <c r="AU57" s="40"/>
      <c r="AV57" s="44"/>
      <c r="AW57" s="40"/>
      <c r="AX57" s="44"/>
      <c r="AY57" s="40"/>
      <c r="AZ57" s="40"/>
      <c r="BA57" s="40"/>
      <c r="BB57" s="40"/>
      <c r="BC57" s="40"/>
      <c r="BD57" s="41"/>
      <c r="BF57" s="41"/>
      <c r="BH57" s="41"/>
      <c r="BI57" s="41"/>
      <c r="BJ57" s="41"/>
      <c r="BK57" s="41"/>
      <c r="BL57" s="41"/>
      <c r="BN57" s="41"/>
      <c r="BO57" s="41"/>
      <c r="BP57" s="41"/>
      <c r="BQ57" s="41"/>
      <c r="BX57" s="41"/>
      <c r="BZ57" s="41"/>
      <c r="CA57" s="41"/>
      <c r="CB57" s="41"/>
      <c r="CC57" s="41"/>
      <c r="CD57" s="41"/>
      <c r="CE57" s="41"/>
      <c r="CF57" s="41"/>
      <c r="CG57" s="41"/>
      <c r="CH57" s="41"/>
      <c r="CI57" s="41"/>
      <c r="CJ57" s="41"/>
      <c r="CL57" s="41"/>
      <c r="CM57" s="41"/>
      <c r="CN57" s="41"/>
      <c r="CO57" s="41"/>
      <c r="CP57" s="41"/>
      <c r="CR57" s="41"/>
      <c r="CS57" s="41"/>
      <c r="CT57" s="41"/>
      <c r="CU57" s="41"/>
      <c r="CV57" s="41"/>
      <c r="CW57" s="40"/>
      <c r="CX57" s="40"/>
      <c r="CY57" s="44"/>
      <c r="CZ57" s="40"/>
      <c r="DA57" s="40"/>
      <c r="DB57" s="40"/>
      <c r="DC57" s="40"/>
      <c r="DD57" s="47"/>
      <c r="DE57" s="47"/>
      <c r="DF57" s="47"/>
      <c r="DG57" s="48"/>
      <c r="DH57" s="47"/>
      <c r="DI57" s="47"/>
      <c r="DJ57" s="47"/>
      <c r="DK57" s="47"/>
      <c r="DL57" s="47"/>
      <c r="DM57" s="47"/>
      <c r="DN57" s="47"/>
      <c r="DO57" s="47"/>
      <c r="DP57" s="47"/>
      <c r="DQ57" s="47"/>
      <c r="DR57" s="47"/>
      <c r="DS57" s="47"/>
      <c r="DT57" s="47"/>
      <c r="DU57" s="47"/>
      <c r="DV57" s="47"/>
      <c r="DW57" s="47"/>
      <c r="DX57" s="47"/>
      <c r="DY57" s="47"/>
      <c r="DZ57" s="47"/>
      <c r="EA57" s="47"/>
      <c r="EB57" s="40"/>
      <c r="EC57" s="40"/>
      <c r="ED57" s="40"/>
      <c r="EE57" s="40"/>
      <c r="EF57" s="40"/>
      <c r="EG57" s="40"/>
      <c r="EH57" s="40"/>
      <c r="EI57" s="40"/>
      <c r="EJ57" s="40"/>
      <c r="EK57" s="40"/>
      <c r="EL57" s="40"/>
      <c r="EM57" s="40"/>
      <c r="EN57" s="40"/>
      <c r="EO57" s="40"/>
      <c r="EP57" s="40"/>
      <c r="EQ57" s="40"/>
      <c r="ER57" s="40"/>
      <c r="ES57" s="40"/>
      <c r="ET57" s="40"/>
      <c r="EU57" s="40"/>
      <c r="EV57" s="40"/>
      <c r="EW57" s="40"/>
      <c r="EX57" s="40"/>
      <c r="EY57" s="40"/>
      <c r="EZ57" s="40"/>
      <c r="FA57" s="40"/>
      <c r="FB57" s="40"/>
      <c r="FC57" s="40"/>
      <c r="FD57" s="40"/>
      <c r="FE57" s="40"/>
      <c r="FF57" s="40"/>
      <c r="FG57" s="40"/>
      <c r="FH57" s="40"/>
      <c r="FI57" s="40"/>
      <c r="FJ57" s="40"/>
      <c r="FK57" s="40"/>
      <c r="FL57" s="40"/>
      <c r="FM57" s="40"/>
      <c r="FN57" s="40"/>
      <c r="FO57" s="40"/>
    </row>
    <row r="58" spans="2:176" s="34" customFormat="1" ht="15" customHeight="1">
      <c r="B58" s="37" t="s">
        <v>187</v>
      </c>
      <c r="C58" s="34">
        <f>(9+8/60+1/3600)</f>
        <v>9.1336111111111098</v>
      </c>
      <c r="D58" s="34">
        <f>-43-25.8/60</f>
        <v>-43.43</v>
      </c>
      <c r="E58" s="38">
        <f>MOD(360-(C58+((3.075+1.336*SIN(RADIANS(C58))*TAN(RADIANS(D58)))*(OBSERVATIONS!$U$35-36526)/365)/3600)*15,360)</f>
        <v>222.71211676627735</v>
      </c>
      <c r="F58" s="38">
        <f>D58+(20.04*COS(RADIANS(C58*15))*(OBSERVATIONS!$U$35-36526)/365)/3600</f>
        <v>-43.526454995268814</v>
      </c>
      <c r="G58" s="38">
        <f>-17.3*SIN(RADIANS(125-0.05295*(OBSERVATIONS!$U$35-2451545)))-1.4*SIN(RADIANS(200+1.97129*(OBSERVATIONS!$U$35-2451545)))</f>
        <v>-15.507213434549312</v>
      </c>
      <c r="H58" s="38">
        <f>9.4*COS(RADIANS(125-0.05295*(OBSERVATIONS!$U$35-2451545)))+0.7*COS(RADIANS(200+1.97129*(OBSERVATIONS!$U$35-2451545)))</f>
        <v>-2.1041300782981658</v>
      </c>
      <c r="I58" s="41">
        <f t="shared" si="250"/>
        <v>222.71409482000726</v>
      </c>
      <c r="J58" s="41">
        <f t="shared" si="251"/>
        <v>-43.525294480141085</v>
      </c>
      <c r="L58" s="39"/>
      <c r="N58" s="40"/>
      <c r="O58" s="42" t="s">
        <v>180</v>
      </c>
      <c r="P58" s="40">
        <v>0</v>
      </c>
      <c r="Q58" s="40"/>
      <c r="R58" s="40"/>
      <c r="S58" s="40"/>
      <c r="T58" s="40"/>
      <c r="U58" s="40"/>
      <c r="V58" s="40"/>
      <c r="W58" s="40"/>
      <c r="X58" s="40"/>
      <c r="Y58" s="40">
        <f>MOD(V$4+OBSERVATIONS!$AO$13+I51,360)</f>
        <v>273.21404719816815</v>
      </c>
      <c r="Z58" s="40">
        <f t="shared" si="260"/>
        <v>86.785952801831854</v>
      </c>
      <c r="AA58" s="40">
        <f t="shared" si="270"/>
        <v>-8.1794092340327573</v>
      </c>
      <c r="AB58" s="40">
        <f t="shared" si="261"/>
        <v>0</v>
      </c>
      <c r="AC58" s="40">
        <f>ABS(TAN(RADIANS(ABS(OBSERVATIONS!$AO$12)))/TAN(RADIANS(ABS(Z58))))</f>
        <v>8.1929927382099574E-2</v>
      </c>
      <c r="AD58" s="40">
        <f>IF(AB58=0,IF(OBSERVATIONS!$AY$35="N",-AC58,AC58),IF(OBSERVATIONS!$AY$35="N",AC58,-AC58))</f>
        <v>-8.1929927382099574E-2</v>
      </c>
      <c r="AE58" s="40">
        <f t="shared" si="262"/>
        <v>-0.14396182602172694</v>
      </c>
      <c r="AF58" s="40">
        <f t="shared" si="263"/>
        <v>-0.2258917534038265</v>
      </c>
      <c r="AG58" s="40">
        <f>ABS(DEGREES(ATAN(1/(COS(RADIANS(ABS(OBSERVATIONS!$AO$12)))*AF58))))</f>
        <v>82.722258131959123</v>
      </c>
      <c r="AH58" s="40">
        <f t="shared" si="264"/>
        <v>97.277741868040877</v>
      </c>
      <c r="AI58" s="40">
        <f>AA58-OBSERVATIONS!$AO$12</f>
        <v>-63.752742567366084</v>
      </c>
      <c r="AJ58" s="44">
        <f>DEGREES(ASIN(SIN(RADIANS(OBSERVATIONS!$AO$12))*SIN(RADIANS(AA58))+COS(RADIANS(OBSERVATIONS!$AO$12))*COS(RADIANS(AA58))*COS(RADIANS(Y58))))</f>
        <v>-4.9323489925177313</v>
      </c>
      <c r="AK58" s="44">
        <f t="shared" si="265"/>
        <v>-4.9323489925177313</v>
      </c>
      <c r="AL58" s="37" t="s">
        <v>180</v>
      </c>
      <c r="AM58" s="44">
        <f t="shared" si="266"/>
        <v>97.277741868040877</v>
      </c>
      <c r="AN58" s="44">
        <f t="shared" si="267"/>
        <v>-4.9323489925177313</v>
      </c>
      <c r="AO58" s="44"/>
      <c r="AP58" s="44"/>
      <c r="AQ58" s="44"/>
      <c r="AR58" s="44"/>
      <c r="AS58" s="40"/>
      <c r="AT58" s="44"/>
      <c r="AU58" s="40"/>
      <c r="AV58" s="44"/>
      <c r="AW58" s="40"/>
      <c r="AX58" s="44"/>
      <c r="AY58" s="40"/>
      <c r="AZ58" s="40"/>
      <c r="BA58" s="40"/>
      <c r="BB58" s="40"/>
      <c r="BC58" s="40"/>
      <c r="BD58" s="41"/>
      <c r="BF58" s="41"/>
      <c r="BH58" s="41"/>
      <c r="BI58" s="41"/>
      <c r="BJ58" s="41"/>
      <c r="BK58" s="41"/>
      <c r="BL58" s="41"/>
      <c r="BN58" s="41"/>
      <c r="BO58" s="41"/>
      <c r="BP58" s="41"/>
      <c r="BQ58" s="41"/>
      <c r="BX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L58" s="41"/>
      <c r="CM58" s="41"/>
      <c r="CN58" s="41"/>
      <c r="CO58" s="41"/>
      <c r="CP58" s="41"/>
      <c r="CR58" s="41"/>
      <c r="CS58" s="41"/>
      <c r="CT58" s="41"/>
      <c r="CU58" s="41"/>
      <c r="CV58" s="41"/>
      <c r="CW58" s="40"/>
      <c r="CX58" s="40"/>
      <c r="CY58" s="44"/>
      <c r="CZ58" s="40"/>
      <c r="DA58" s="40"/>
      <c r="DB58" s="40"/>
      <c r="DC58" s="40"/>
      <c r="DD58" s="47"/>
      <c r="DE58" s="47"/>
      <c r="DF58" s="47"/>
      <c r="DG58" s="48"/>
      <c r="DH58" s="47"/>
      <c r="DI58" s="47"/>
      <c r="DJ58" s="47"/>
      <c r="DK58" s="47"/>
      <c r="DL58" s="47"/>
      <c r="DM58" s="47"/>
      <c r="DN58" s="47"/>
      <c r="DO58" s="47"/>
      <c r="DP58" s="47"/>
      <c r="DQ58" s="47"/>
      <c r="DR58" s="47"/>
      <c r="DS58" s="47"/>
      <c r="DT58" s="47"/>
      <c r="DU58" s="47"/>
      <c r="DV58" s="47"/>
      <c r="DW58" s="47"/>
      <c r="DX58" s="47"/>
      <c r="DY58" s="47"/>
      <c r="DZ58" s="47"/>
      <c r="EA58" s="47"/>
      <c r="EB58" s="40"/>
      <c r="EC58" s="40"/>
      <c r="ED58" s="40"/>
      <c r="EE58" s="40"/>
      <c r="EF58" s="40"/>
      <c r="EG58" s="40"/>
      <c r="EH58" s="40"/>
      <c r="EI58" s="40"/>
      <c r="EJ58" s="40"/>
      <c r="EK58" s="40"/>
      <c r="EL58" s="40"/>
      <c r="EM58" s="40"/>
      <c r="EN58" s="40"/>
      <c r="EO58" s="40"/>
      <c r="EP58" s="40"/>
      <c r="EQ58" s="40"/>
      <c r="ER58" s="40"/>
      <c r="ES58" s="40"/>
      <c r="ET58" s="40"/>
      <c r="EU58" s="40"/>
      <c r="EV58" s="40"/>
      <c r="EW58" s="40"/>
      <c r="EX58" s="40"/>
      <c r="EY58" s="40"/>
      <c r="EZ58" s="40"/>
      <c r="FA58" s="40"/>
      <c r="FB58" s="40"/>
      <c r="FC58" s="40"/>
      <c r="FD58" s="40"/>
      <c r="FE58" s="40"/>
      <c r="FF58" s="40"/>
      <c r="FG58" s="40"/>
      <c r="FH58" s="40"/>
      <c r="FI58" s="40"/>
      <c r="FJ58" s="40"/>
      <c r="FK58" s="40"/>
      <c r="FL58" s="40"/>
      <c r="FM58" s="40"/>
      <c r="FN58" s="40"/>
      <c r="FO58" s="40"/>
    </row>
    <row r="59" spans="2:176" s="34" customFormat="1" ht="15" customHeight="1">
      <c r="B59" s="37" t="s">
        <v>188</v>
      </c>
      <c r="C59" s="34">
        <f>(18+36/60+54/3600)</f>
        <v>18.615000000000002</v>
      </c>
      <c r="D59" s="34">
        <f>38+47/60</f>
        <v>38.783333333333331</v>
      </c>
      <c r="E59" s="38">
        <f>MOD(360-(C59+((3.075+1.336*SIN(RADIANS(C59))*TAN(RADIANS(D59)))*(OBSERVATIONS!$U$35-36526)/365)/3600)*15,360)</f>
        <v>80.437640715932105</v>
      </c>
      <c r="F59" s="38">
        <f>D59+(20.04*COS(RADIANS(C59*15))*(OBSERVATIONS!$U$35-36526)/365)/3600</f>
        <v>38.804474723945056</v>
      </c>
      <c r="G59" s="38">
        <f>-17.3*SIN(RADIANS(125-0.05295*(OBSERVATIONS!$U$35-2451545)))-1.4*SIN(RADIANS(200+1.97129*(OBSERVATIONS!$U$35-2451545)))</f>
        <v>-15.507213434549312</v>
      </c>
      <c r="H59" s="38">
        <f>9.4*COS(RADIANS(125-0.05295*(OBSERVATIONS!$U$35-2451545)))+0.7*COS(RADIANS(200+1.97129*(OBSERVATIONS!$U$35-2451545)))</f>
        <v>-2.1041300782981658</v>
      </c>
      <c r="I59" s="41">
        <f t="shared" si="250"/>
        <v>80.439169111016483</v>
      </c>
      <c r="J59" s="41">
        <f t="shared" si="251"/>
        <v>38.804013451430862</v>
      </c>
      <c r="L59" s="39"/>
      <c r="N59" s="40"/>
      <c r="O59" s="42" t="s">
        <v>181</v>
      </c>
      <c r="P59" s="40">
        <v>0</v>
      </c>
      <c r="Q59" s="40"/>
      <c r="R59" s="40"/>
      <c r="S59" s="40"/>
      <c r="T59" s="40"/>
      <c r="U59" s="40"/>
      <c r="V59" s="40"/>
      <c r="W59" s="40"/>
      <c r="X59" s="40"/>
      <c r="Y59" s="40">
        <f>MOD(V$4+OBSERVATIONS!$AO$13+I52,360)</f>
        <v>132.00687647863708</v>
      </c>
      <c r="Z59" s="40">
        <f t="shared" si="260"/>
        <v>132.00687647863708</v>
      </c>
      <c r="AA59" s="40">
        <f t="shared" si="270"/>
        <v>-60.92999842692123</v>
      </c>
      <c r="AB59" s="40">
        <f t="shared" si="261"/>
        <v>1</v>
      </c>
      <c r="AC59" s="40">
        <f>ABS(TAN(RADIANS(ABS(OBSERVATIONS!$AO$12)))/TAN(RADIANS(ABS(Z59))))</f>
        <v>1.3140120184416397</v>
      </c>
      <c r="AD59" s="40">
        <f>IF(AB59=0,IF(OBSERVATIONS!$AY$35="N",-AC59,AC59),IF(OBSERVATIONS!$AY$35="N",AC59,-AC59))</f>
        <v>1.3140120184416397</v>
      </c>
      <c r="AE59" s="40">
        <f t="shared" si="262"/>
        <v>-2.4208680084689216</v>
      </c>
      <c r="AF59" s="40">
        <f t="shared" si="263"/>
        <v>-1.1068559900272819</v>
      </c>
      <c r="AG59" s="40">
        <f>ABS(DEGREES(ATAN(1/(COS(RADIANS(ABS(OBSERVATIONS!$AO$12)))*AF59))))</f>
        <v>57.963227715457833</v>
      </c>
      <c r="AH59" s="40">
        <f t="shared" si="264"/>
        <v>237.96322771545783</v>
      </c>
      <c r="AI59" s="40">
        <f>AA59-OBSERVATIONS!$AO$12</f>
        <v>-116.50333176025455</v>
      </c>
      <c r="AJ59" s="44">
        <f>DEGREES(ASIN(SIN(RADIANS(OBSERVATIONS!$AO$12))*SIN(RADIANS(AA59))+COS(RADIANS(OBSERVATIONS!$AO$12))*COS(RADIANS(AA59))*COS(RADIANS(Y59))))</f>
        <v>-64.792370147079936</v>
      </c>
      <c r="AK59" s="44">
        <f t="shared" si="265"/>
        <v>-64.792370147079936</v>
      </c>
      <c r="AL59" s="37" t="s">
        <v>181</v>
      </c>
      <c r="AM59" s="44">
        <f t="shared" si="266"/>
        <v>237.96322771545783</v>
      </c>
      <c r="AN59" s="44">
        <f t="shared" si="267"/>
        <v>-64.792370147079936</v>
      </c>
      <c r="AO59" s="44"/>
      <c r="AP59" s="44"/>
      <c r="AQ59" s="44"/>
      <c r="AR59" s="44"/>
      <c r="AS59" s="40"/>
      <c r="AT59" s="44"/>
      <c r="AU59" s="40"/>
      <c r="AV59" s="44"/>
      <c r="AW59" s="40"/>
      <c r="AX59" s="44"/>
      <c r="AY59" s="40"/>
      <c r="AZ59" s="40"/>
      <c r="BA59" s="40"/>
      <c r="BB59" s="40"/>
      <c r="BC59" s="40"/>
      <c r="BD59" s="41"/>
      <c r="BF59" s="41"/>
      <c r="BH59" s="41"/>
      <c r="BI59" s="41"/>
      <c r="BJ59" s="41"/>
      <c r="BK59" s="41"/>
      <c r="BL59" s="41"/>
      <c r="BN59" s="41"/>
      <c r="BO59" s="41"/>
      <c r="BP59" s="41"/>
      <c r="BQ59" s="41"/>
      <c r="BX59" s="41"/>
      <c r="BZ59" s="41"/>
      <c r="CA59" s="41"/>
      <c r="CB59" s="41"/>
      <c r="CC59" s="41"/>
      <c r="CD59" s="41"/>
      <c r="CE59" s="41"/>
      <c r="CF59" s="41"/>
      <c r="CG59" s="41"/>
      <c r="CH59" s="41"/>
      <c r="CI59" s="41"/>
      <c r="CJ59" s="41"/>
      <c r="CL59" s="41"/>
      <c r="CM59" s="41"/>
      <c r="CN59" s="41"/>
      <c r="CO59" s="41"/>
      <c r="CP59" s="41"/>
      <c r="CR59" s="41"/>
      <c r="CS59" s="41"/>
      <c r="CT59" s="41"/>
      <c r="CU59" s="41"/>
      <c r="CV59" s="41"/>
      <c r="CW59" s="40"/>
      <c r="CX59" s="40"/>
      <c r="CY59" s="44"/>
      <c r="CZ59" s="40"/>
      <c r="DA59" s="40"/>
      <c r="DB59" s="40"/>
      <c r="DC59" s="40"/>
      <c r="DD59" s="47"/>
      <c r="DE59" s="47"/>
      <c r="DF59" s="47"/>
      <c r="DG59" s="48"/>
      <c r="DH59" s="47"/>
      <c r="DI59" s="47"/>
      <c r="DJ59" s="47"/>
      <c r="DK59" s="47"/>
      <c r="DL59" s="47"/>
      <c r="DM59" s="47"/>
      <c r="DN59" s="47"/>
      <c r="DO59" s="47"/>
      <c r="DP59" s="47"/>
      <c r="DQ59" s="47"/>
      <c r="DR59" s="47"/>
      <c r="DS59" s="47"/>
      <c r="DT59" s="47"/>
      <c r="DU59" s="47"/>
      <c r="DV59" s="47"/>
      <c r="DW59" s="47"/>
      <c r="DX59" s="47"/>
      <c r="DY59" s="47"/>
      <c r="DZ59" s="47"/>
      <c r="EA59" s="47"/>
      <c r="EB59" s="40"/>
      <c r="EC59" s="40"/>
      <c r="ED59" s="40"/>
      <c r="EE59" s="40"/>
      <c r="EF59" s="40"/>
      <c r="EG59" s="40"/>
      <c r="EH59" s="40"/>
      <c r="EI59" s="40"/>
      <c r="EJ59" s="40"/>
      <c r="EK59" s="40"/>
      <c r="EL59" s="40"/>
      <c r="EM59" s="40"/>
      <c r="EN59" s="40"/>
      <c r="EO59" s="40"/>
      <c r="EP59" s="40"/>
      <c r="EQ59" s="40"/>
      <c r="ER59" s="40"/>
      <c r="ES59" s="40"/>
      <c r="ET59" s="40"/>
      <c r="EU59" s="40"/>
      <c r="EV59" s="40"/>
      <c r="EW59" s="40"/>
      <c r="EX59" s="40"/>
      <c r="EY59" s="40"/>
      <c r="EZ59" s="40"/>
      <c r="FA59" s="40"/>
      <c r="FB59" s="40"/>
      <c r="FC59" s="40"/>
      <c r="FD59" s="40"/>
      <c r="FE59" s="40"/>
      <c r="FF59" s="40"/>
      <c r="FG59" s="40"/>
      <c r="FH59" s="40"/>
      <c r="FI59" s="40"/>
      <c r="FJ59" s="40"/>
      <c r="FK59" s="40"/>
      <c r="FL59" s="40"/>
      <c r="FM59" s="40"/>
      <c r="FN59" s="40"/>
      <c r="FO59" s="40"/>
    </row>
    <row r="60" spans="2:176" s="34" customFormat="1" ht="15" customHeight="1">
      <c r="B60" s="37" t="s">
        <v>189</v>
      </c>
      <c r="C60" s="34">
        <f>(14+50/60+51/3600)</f>
        <v>14.8475</v>
      </c>
      <c r="D60" s="34">
        <f>-16-2.3/60</f>
        <v>-16.038333333333334</v>
      </c>
      <c r="E60" s="38">
        <f>MOD(360-(C60+((3.075+1.336*SIN(RADIANS(C60))*TAN(RADIANS(D60)))*(OBSERVATIONS!$U$35-36526)/365)/3600)*15,360)</f>
        <v>136.99368107321308</v>
      </c>
      <c r="F60" s="38">
        <f>D60+(20.04*COS(RADIANS(C60*15))*(OBSERVATIONS!$U$35-36526)/365)/3600</f>
        <v>-16.135231873219926</v>
      </c>
      <c r="G60" s="38">
        <f>-17.3*SIN(RADIANS(125-0.05295*(OBSERVATIONS!$U$35-2451545)))-1.4*SIN(RADIANS(200+1.97129*(OBSERVATIONS!$U$35-2451545)))</f>
        <v>-15.507213434549312</v>
      </c>
      <c r="H60" s="38">
        <f>9.4*COS(RADIANS(125-0.05295*(OBSERVATIONS!$U$35-2451545)))+0.7*COS(RADIANS(200+1.97129*(OBSERVATIONS!$U$35-2451545)))</f>
        <v>-2.1041300782981658</v>
      </c>
      <c r="I60" s="41">
        <f t="shared" si="250"/>
        <v>136.99559981832488</v>
      </c>
      <c r="J60" s="41">
        <f t="shared" si="251"/>
        <v>-16.134122587519485</v>
      </c>
      <c r="L60" s="39"/>
      <c r="N60" s="40"/>
      <c r="O60" s="42" t="s">
        <v>182</v>
      </c>
      <c r="P60" s="40">
        <v>0</v>
      </c>
      <c r="Q60" s="40"/>
      <c r="R60" s="40"/>
      <c r="S60" s="40"/>
      <c r="T60" s="40"/>
      <c r="U60" s="40"/>
      <c r="V60" s="40"/>
      <c r="W60" s="40"/>
      <c r="X60" s="40"/>
      <c r="Y60" s="40">
        <f>MOD(V$4+OBSERVATIONS!$AO$13+I53,360)</f>
        <v>94.278787367538769</v>
      </c>
      <c r="Z60" s="40">
        <f t="shared" si="260"/>
        <v>94.278787367538769</v>
      </c>
      <c r="AA60" s="40">
        <f t="shared" si="270"/>
        <v>-15.751493486961538</v>
      </c>
      <c r="AB60" s="40">
        <f t="shared" si="261"/>
        <v>1</v>
      </c>
      <c r="AC60" s="40">
        <f>ABS(TAN(RADIANS(ABS(OBSERVATIONS!$AO$12)))/TAN(RADIANS(ABS(Z60))))</f>
        <v>0.10916000622894444</v>
      </c>
      <c r="AD60" s="40">
        <f>IF(AB60=0,IF(OBSERVATIONS!$AY$35="N",-AC60,AC60),IF(OBSERVATIONS!$AY$35="N",AC60,-AC60))</f>
        <v>0.10916000622894444</v>
      </c>
      <c r="AE60" s="40">
        <f t="shared" si="262"/>
        <v>-0.28284564853638028</v>
      </c>
      <c r="AF60" s="40">
        <f t="shared" si="263"/>
        <v>-0.17368564230743583</v>
      </c>
      <c r="AG60" s="40">
        <f>ABS(DEGREES(ATAN(1/(COS(RADIANS(ABS(OBSERVATIONS!$AO$12)))*AF60))))</f>
        <v>84.391913855649719</v>
      </c>
      <c r="AH60" s="40">
        <f t="shared" si="264"/>
        <v>264.3919138556497</v>
      </c>
      <c r="AI60" s="40">
        <f>AA60-OBSERVATIONS!$AO$12</f>
        <v>-71.324826820294874</v>
      </c>
      <c r="AJ60" s="44">
        <f>DEGREES(ASIN(SIN(RADIANS(OBSERVATIONS!$AO$12))*SIN(RADIANS(AA60))+COS(RADIANS(OBSERVATIONS!$AO$12))*COS(RADIANS(AA60))*COS(RADIANS(Y60))))</f>
        <v>-15.338141227120223</v>
      </c>
      <c r="AK60" s="44">
        <f t="shared" si="265"/>
        <v>-15.338141227120223</v>
      </c>
      <c r="AL60" s="37" t="s">
        <v>182</v>
      </c>
      <c r="AM60" s="44">
        <f t="shared" si="266"/>
        <v>264.3919138556497</v>
      </c>
      <c r="AN60" s="44">
        <f t="shared" si="267"/>
        <v>-15.338141227120223</v>
      </c>
      <c r="AO60" s="44"/>
      <c r="AP60" s="44"/>
      <c r="AQ60" s="44"/>
      <c r="AR60" s="44"/>
      <c r="AS60" s="40"/>
      <c r="AT60" s="44"/>
      <c r="AU60" s="40"/>
      <c r="AV60" s="44"/>
      <c r="AW60" s="40"/>
      <c r="AX60" s="44"/>
      <c r="AY60" s="40"/>
      <c r="AZ60" s="40"/>
      <c r="BA60" s="40"/>
      <c r="BB60" s="40"/>
      <c r="BC60" s="40"/>
      <c r="BD60" s="41"/>
      <c r="BF60" s="41"/>
      <c r="BH60" s="41"/>
      <c r="BI60" s="41"/>
      <c r="BJ60" s="41"/>
      <c r="BK60" s="41"/>
      <c r="BL60" s="41"/>
      <c r="BN60" s="41"/>
      <c r="BO60" s="41"/>
      <c r="BP60" s="41"/>
      <c r="BQ60" s="41"/>
      <c r="BX60" s="41"/>
      <c r="BZ60" s="41"/>
      <c r="CA60" s="41"/>
      <c r="CB60" s="41"/>
      <c r="CC60" s="41"/>
      <c r="CD60" s="41"/>
      <c r="CE60" s="41"/>
      <c r="CF60" s="41"/>
      <c r="CG60" s="41"/>
      <c r="CH60" s="41"/>
      <c r="CI60" s="41"/>
      <c r="CJ60" s="41"/>
      <c r="CL60" s="41"/>
      <c r="CM60" s="41"/>
      <c r="CN60" s="41"/>
      <c r="CO60" s="41"/>
      <c r="CP60" s="41"/>
      <c r="CR60" s="41"/>
      <c r="CS60" s="41"/>
      <c r="CT60" s="41"/>
      <c r="CU60" s="41"/>
      <c r="CV60" s="41"/>
      <c r="CW60" s="40"/>
      <c r="CX60" s="40"/>
      <c r="CY60" s="44"/>
      <c r="CZ60" s="40"/>
      <c r="DA60" s="40"/>
      <c r="DB60" s="40"/>
      <c r="DC60" s="40"/>
      <c r="DD60" s="47"/>
      <c r="DE60" s="47"/>
      <c r="DF60" s="47"/>
      <c r="DG60" s="48"/>
      <c r="DH60" s="47"/>
      <c r="DI60" s="47"/>
      <c r="DJ60" s="47"/>
      <c r="DK60" s="47"/>
      <c r="DL60" s="47"/>
      <c r="DM60" s="47"/>
      <c r="DN60" s="47"/>
      <c r="DO60" s="47"/>
      <c r="DP60" s="47"/>
      <c r="DQ60" s="47"/>
      <c r="DR60" s="47"/>
      <c r="DS60" s="47"/>
      <c r="DT60" s="47"/>
      <c r="DU60" s="47"/>
      <c r="DV60" s="47"/>
      <c r="DW60" s="47"/>
      <c r="DX60" s="47"/>
      <c r="DY60" s="47"/>
      <c r="DZ60" s="47"/>
      <c r="EA60" s="47"/>
      <c r="EB60" s="40"/>
      <c r="EC60" s="40"/>
      <c r="ED60" s="40"/>
      <c r="EE60" s="40"/>
      <c r="EF60" s="40"/>
      <c r="EG60" s="40"/>
      <c r="EH60" s="40"/>
      <c r="EI60" s="40"/>
      <c r="EJ60" s="40"/>
      <c r="EK60" s="40"/>
      <c r="EL60" s="40"/>
      <c r="EM60" s="40"/>
      <c r="EN60" s="40"/>
      <c r="EO60" s="40"/>
      <c r="EP60" s="40"/>
      <c r="EQ60" s="40"/>
      <c r="ER60" s="40"/>
      <c r="ES60" s="40"/>
      <c r="ET60" s="40"/>
      <c r="EU60" s="40"/>
      <c r="EV60" s="40"/>
      <c r="EW60" s="40"/>
      <c r="EX60" s="40"/>
      <c r="EY60" s="40"/>
      <c r="EZ60" s="40"/>
      <c r="FA60" s="40"/>
      <c r="FB60" s="40"/>
      <c r="FC60" s="40"/>
      <c r="FD60" s="40"/>
      <c r="FE60" s="40"/>
      <c r="FF60" s="40"/>
      <c r="FG60" s="40"/>
      <c r="FH60" s="40"/>
      <c r="FI60" s="40"/>
      <c r="FJ60" s="40"/>
      <c r="FK60" s="40"/>
      <c r="FL60" s="40"/>
      <c r="FM60" s="40"/>
      <c r="FN60" s="40"/>
      <c r="FO60" s="40"/>
    </row>
    <row r="61" spans="2:176" s="34" customFormat="1" ht="15" customHeight="1">
      <c r="B61" s="37"/>
      <c r="L61" s="39"/>
      <c r="N61" s="40"/>
      <c r="O61" s="42" t="s">
        <v>190</v>
      </c>
      <c r="P61" s="40">
        <v>1</v>
      </c>
      <c r="Q61" s="40">
        <f>IK4</f>
        <v>9.528253186090808</v>
      </c>
      <c r="R61" s="40">
        <f>IK5</f>
        <v>11.091236625526932</v>
      </c>
      <c r="S61" s="40">
        <f>IK6</f>
        <v>22.064927280261941</v>
      </c>
      <c r="T61" s="40">
        <f>IJ4</f>
        <v>-11.98060166028122</v>
      </c>
      <c r="U61" s="40">
        <f>IJ5</f>
        <v>-13.225747299894016</v>
      </c>
      <c r="V61" s="40">
        <f>IJ6</f>
        <v>-11.981560270156928</v>
      </c>
      <c r="W61" s="40"/>
      <c r="X61" s="40"/>
      <c r="Y61" s="40">
        <f>MOD(Q61+OBSERVATIONS!$AO$13,360)</f>
        <v>16.311586519424139</v>
      </c>
      <c r="Z61" s="40">
        <f t="shared" si="260"/>
        <v>16.311586519424139</v>
      </c>
      <c r="AA61" s="40">
        <f>T61</f>
        <v>-11.98060166028122</v>
      </c>
      <c r="AB61" s="40">
        <f t="shared" si="261"/>
        <v>0</v>
      </c>
      <c r="AC61" s="40">
        <f>ABS(TAN(RADIANS(ABS(OBSERVATIONS!$AO$12)))/TAN(RADIANS(ABS(Z61))))</f>
        <v>4.9856685804085572</v>
      </c>
      <c r="AD61" s="40">
        <f>IF(AB61=0,IF(OBSERVATIONS!$AY$35="N",-AC61,AC61),IF(OBSERVATIONS!$AY$35="N",AC61,-AC61))</f>
        <v>-4.9856685804085572</v>
      </c>
      <c r="AE61" s="40">
        <f t="shared" si="262"/>
        <v>-0.75554412513920743</v>
      </c>
      <c r="AF61" s="40">
        <f t="shared" si="263"/>
        <v>-5.7412127055477651</v>
      </c>
      <c r="AG61" s="40">
        <f>ABS(DEGREES(ATAN(1/(COS(RADIANS(ABS(OBSERVATIONS!$AO$12)))*AF61))))</f>
        <v>17.123565088954447</v>
      </c>
      <c r="AH61" s="40">
        <f t="shared" si="264"/>
        <v>197.12356508895445</v>
      </c>
      <c r="AI61" s="40">
        <f>AA61-OBSERVATIONS!$AO$12</f>
        <v>-67.553934993614547</v>
      </c>
      <c r="AJ61" s="44">
        <f>DEGREES(ASIN(SIN(RADIANS(OBSERVATIONS!$AO$12))*SIN(RADIANS(AA61))+COS(RADIANS(OBSERVATIONS!$AO$12))*COS(RADIANS(AA61))*COS(RADIANS(Y61))))</f>
        <v>21.072749016255333</v>
      </c>
      <c r="AK61" s="44">
        <f t="shared" si="265"/>
        <v>21.072749016255333</v>
      </c>
      <c r="AL61" s="37" t="s">
        <v>190</v>
      </c>
      <c r="AM61" s="44">
        <f t="shared" si="266"/>
        <v>197.12356508895445</v>
      </c>
      <c r="AN61" s="44">
        <f t="shared" si="267"/>
        <v>21.072749016255333</v>
      </c>
      <c r="AO61" s="44"/>
      <c r="AP61" s="44"/>
      <c r="AQ61" s="44"/>
      <c r="AR61" s="44"/>
      <c r="AS61" s="40"/>
      <c r="AT61" s="44"/>
      <c r="AU61" s="40"/>
      <c r="AV61" s="44"/>
      <c r="AW61" s="40"/>
      <c r="AX61" s="44"/>
      <c r="AY61" s="40"/>
      <c r="AZ61" s="40"/>
      <c r="BA61" s="40"/>
      <c r="BB61" s="40"/>
      <c r="BC61" s="40"/>
      <c r="BD61" s="41"/>
      <c r="BF61" s="41"/>
      <c r="BH61" s="41"/>
      <c r="BI61" s="41"/>
      <c r="BJ61" s="41"/>
      <c r="BK61" s="41"/>
      <c r="BL61" s="41"/>
      <c r="BN61" s="41"/>
      <c r="BO61" s="41"/>
      <c r="BP61" s="41"/>
      <c r="BQ61" s="41"/>
      <c r="BX61" s="41"/>
      <c r="BZ61" s="41"/>
      <c r="CA61" s="41"/>
      <c r="CB61" s="41"/>
      <c r="CC61" s="41"/>
      <c r="CD61" s="41"/>
      <c r="CE61" s="41"/>
      <c r="CF61" s="41"/>
      <c r="CG61" s="41"/>
      <c r="CH61" s="41"/>
      <c r="CI61" s="41"/>
      <c r="CJ61" s="41"/>
      <c r="CL61" s="41"/>
      <c r="CM61" s="41"/>
      <c r="CN61" s="41"/>
      <c r="CO61" s="41"/>
      <c r="CP61" s="41"/>
      <c r="CR61" s="41"/>
      <c r="CS61" s="41"/>
      <c r="CT61" s="41"/>
      <c r="CU61" s="41"/>
      <c r="CV61" s="41"/>
      <c r="CW61" s="40"/>
      <c r="CX61" s="40"/>
      <c r="CY61" s="44"/>
      <c r="CZ61" s="40"/>
      <c r="DA61" s="40"/>
      <c r="DB61" s="40"/>
      <c r="DC61" s="40"/>
      <c r="DD61" s="47"/>
      <c r="DE61" s="47"/>
      <c r="DF61" s="47"/>
      <c r="DG61" s="48"/>
      <c r="DH61" s="47"/>
      <c r="DI61" s="47"/>
      <c r="DJ61" s="47"/>
      <c r="DK61" s="47"/>
      <c r="DL61" s="47"/>
      <c r="DM61" s="47"/>
      <c r="DN61" s="47"/>
      <c r="DO61" s="47"/>
      <c r="DP61" s="47"/>
      <c r="DQ61" s="47"/>
      <c r="DR61" s="47"/>
      <c r="DS61" s="47"/>
      <c r="DT61" s="47"/>
      <c r="DU61" s="47"/>
      <c r="DV61" s="47"/>
      <c r="DW61" s="47"/>
      <c r="DX61" s="47"/>
      <c r="DY61" s="47"/>
      <c r="DZ61" s="47"/>
      <c r="EA61" s="47"/>
      <c r="EB61" s="40"/>
      <c r="EC61" s="40"/>
      <c r="ED61" s="40"/>
      <c r="EE61" s="40"/>
      <c r="EF61" s="40"/>
      <c r="EG61" s="40"/>
      <c r="EH61" s="40"/>
      <c r="EI61" s="40"/>
      <c r="EJ61" s="40"/>
      <c r="EK61" s="40"/>
      <c r="EL61" s="40"/>
      <c r="EM61" s="40"/>
      <c r="EN61" s="40"/>
      <c r="EO61" s="40"/>
      <c r="EP61" s="40"/>
      <c r="EQ61" s="40"/>
      <c r="ER61" s="40"/>
      <c r="ES61" s="40"/>
      <c r="ET61" s="40"/>
      <c r="EU61" s="40"/>
      <c r="EV61" s="40"/>
      <c r="EW61" s="40"/>
      <c r="EX61" s="40"/>
      <c r="EY61" s="40"/>
      <c r="EZ61" s="40"/>
      <c r="FA61" s="40"/>
      <c r="FB61" s="40"/>
      <c r="FC61" s="40"/>
      <c r="FD61" s="40"/>
      <c r="FE61" s="40"/>
      <c r="FF61" s="40"/>
      <c r="FG61" s="40"/>
      <c r="FH61" s="40"/>
      <c r="FI61" s="40"/>
      <c r="FJ61" s="40"/>
      <c r="FK61" s="40"/>
      <c r="FL61" s="40"/>
      <c r="FM61" s="40"/>
      <c r="FN61" s="40"/>
      <c r="FO61" s="40"/>
    </row>
    <row r="62" spans="2:176" s="34" customFormat="1" ht="15" customHeight="1">
      <c r="B62" s="37"/>
      <c r="C62" s="37"/>
      <c r="D62" s="37"/>
      <c r="E62" s="37"/>
      <c r="F62" s="37"/>
      <c r="G62" s="37"/>
      <c r="N62" s="40"/>
      <c r="O62" s="42" t="s">
        <v>183</v>
      </c>
      <c r="P62" s="40">
        <v>0</v>
      </c>
      <c r="Q62" s="43"/>
      <c r="R62" s="40"/>
      <c r="S62" s="40"/>
      <c r="T62" s="40"/>
      <c r="U62" s="40"/>
      <c r="V62" s="40"/>
      <c r="W62" s="40"/>
      <c r="X62" s="40"/>
      <c r="Y62" s="40">
        <f>MOD(V$4+OBSERVATIONS!$AO$13+I54,360)</f>
        <v>341.72255651074397</v>
      </c>
      <c r="Z62" s="40">
        <f t="shared" si="260"/>
        <v>18.277443489256029</v>
      </c>
      <c r="AA62" s="40">
        <f t="shared" ref="AA62" si="271">J54</f>
        <v>56.66812910256084</v>
      </c>
      <c r="AB62" s="40">
        <f t="shared" si="261"/>
        <v>0</v>
      </c>
      <c r="AC62" s="40">
        <f>ABS(TAN(RADIANS(ABS(OBSERVATIONS!$AO$12)))/TAN(RADIANS(ABS(Z62))))</f>
        <v>4.4174595427736945</v>
      </c>
      <c r="AD62" s="40">
        <f>IF(AB62=0,IF(OBSERVATIONS!$AY$35="N",-AC62,AC62),IF(OBSERVATIONS!$AY$35="N",AC62,-AC62))</f>
        <v>-4.4174595427736945</v>
      </c>
      <c r="AE62" s="40">
        <f t="shared" si="262"/>
        <v>4.8482787424559453</v>
      </c>
      <c r="AF62" s="40">
        <f t="shared" si="263"/>
        <v>0.4308191996822508</v>
      </c>
      <c r="AG62" s="40">
        <f>ABS(DEGREES(ATAN(1/(COS(RADIANS(ABS(OBSERVATIONS!$AO$12)))*AF62))))</f>
        <v>76.311339994217619</v>
      </c>
      <c r="AH62" s="40">
        <f t="shared" si="264"/>
        <v>76.311339994217619</v>
      </c>
      <c r="AI62" s="40">
        <f>AA62-OBSERVATIONS!$AO$12</f>
        <v>1.0947957692275097</v>
      </c>
      <c r="AJ62" s="44">
        <f>DEGREES(ASIN(SIN(RADIANS(OBSERVATIONS!$AO$12))*SIN(RADIANS(AA62))+COS(RADIANS(OBSERVATIONS!$AO$12))*COS(RADIANS(AA62))*COS(RADIANS(Y62))))</f>
        <v>79.783536669525063</v>
      </c>
      <c r="AK62" s="44">
        <f t="shared" si="265"/>
        <v>79.783536669525063</v>
      </c>
      <c r="AL62" s="37" t="s">
        <v>183</v>
      </c>
      <c r="AM62" s="44">
        <f t="shared" si="266"/>
        <v>76.311339994217619</v>
      </c>
      <c r="AN62" s="44">
        <f t="shared" si="267"/>
        <v>79.783536669525063</v>
      </c>
      <c r="AO62" s="44"/>
      <c r="AP62" s="44"/>
      <c r="AQ62" s="40"/>
      <c r="AR62" s="44"/>
      <c r="AS62" s="44"/>
      <c r="AT62" s="44"/>
      <c r="AU62" s="44"/>
      <c r="AV62" s="44"/>
      <c r="AW62" s="44"/>
      <c r="AX62" s="40"/>
      <c r="AY62" s="44"/>
      <c r="AZ62" s="40"/>
      <c r="BA62" s="44"/>
      <c r="BB62" s="40"/>
      <c r="BC62" s="44"/>
      <c r="BI62" s="41"/>
      <c r="BK62" s="41"/>
      <c r="BM62" s="41"/>
      <c r="BN62" s="41"/>
      <c r="BO62" s="41"/>
      <c r="BP62" s="41"/>
      <c r="BQ62" s="41"/>
      <c r="BS62" s="41"/>
      <c r="BT62" s="41"/>
      <c r="BU62" s="41"/>
      <c r="BV62" s="41"/>
      <c r="CC62" s="41"/>
      <c r="CE62" s="41"/>
      <c r="CF62" s="41"/>
      <c r="CG62" s="41"/>
      <c r="CH62" s="41"/>
      <c r="CI62" s="41"/>
      <c r="CJ62" s="41"/>
      <c r="CK62" s="41"/>
      <c r="CL62" s="41"/>
      <c r="CM62" s="41"/>
      <c r="CN62" s="41"/>
      <c r="CO62" s="41"/>
      <c r="CQ62" s="41"/>
      <c r="CR62" s="41"/>
      <c r="CS62" s="41"/>
      <c r="CT62" s="41"/>
      <c r="CU62" s="41"/>
      <c r="CW62" s="44"/>
      <c r="CX62" s="44"/>
      <c r="CY62" s="44"/>
      <c r="CZ62" s="44"/>
      <c r="DA62" s="44"/>
      <c r="DB62" s="40"/>
      <c r="DC62" s="40"/>
      <c r="DD62" s="44"/>
      <c r="DE62" s="40"/>
      <c r="DF62" s="40"/>
      <c r="DG62" s="40"/>
      <c r="DH62" s="40"/>
      <c r="DI62" s="47"/>
      <c r="DJ62" s="47"/>
      <c r="DK62" s="47"/>
      <c r="DL62" s="48"/>
      <c r="DM62" s="47"/>
      <c r="DN62" s="47"/>
      <c r="DO62" s="47"/>
      <c r="DP62" s="47"/>
      <c r="DQ62" s="47"/>
      <c r="DR62" s="47"/>
      <c r="DS62" s="47"/>
      <c r="DT62" s="47"/>
      <c r="DU62" s="47"/>
      <c r="DV62" s="47"/>
      <c r="DW62" s="47"/>
      <c r="DX62" s="47"/>
      <c r="DY62" s="47"/>
      <c r="DZ62" s="47"/>
      <c r="EA62" s="47"/>
      <c r="EB62" s="47"/>
      <c r="EC62" s="47"/>
      <c r="ED62" s="47"/>
      <c r="EE62" s="47"/>
      <c r="EF62" s="47"/>
      <c r="EG62" s="40"/>
      <c r="EH62" s="40"/>
      <c r="EI62" s="40"/>
      <c r="EJ62" s="40"/>
      <c r="EK62" s="40"/>
      <c r="EL62" s="40"/>
      <c r="EM62" s="40"/>
      <c r="EN62" s="40"/>
      <c r="EO62" s="40"/>
      <c r="EP62" s="40"/>
      <c r="EQ62" s="40"/>
      <c r="ER62" s="40"/>
      <c r="ES62" s="40"/>
      <c r="ET62" s="40"/>
      <c r="EU62" s="40"/>
      <c r="EV62" s="40"/>
      <c r="EW62" s="40"/>
      <c r="EX62" s="40"/>
      <c r="EY62" s="40"/>
      <c r="EZ62" s="40"/>
      <c r="FA62" s="40"/>
      <c r="FB62" s="40"/>
      <c r="FC62" s="40"/>
      <c r="FD62" s="40"/>
      <c r="FE62" s="40"/>
      <c r="FF62" s="40"/>
      <c r="FG62" s="40"/>
      <c r="FH62" s="40"/>
      <c r="FI62" s="40"/>
      <c r="FJ62" s="40"/>
      <c r="FK62" s="40"/>
      <c r="FL62" s="40"/>
      <c r="FM62" s="40"/>
      <c r="FN62" s="40"/>
      <c r="FO62" s="40"/>
      <c r="FP62" s="40"/>
      <c r="FQ62" s="40"/>
      <c r="FR62" s="40"/>
      <c r="FS62" s="40"/>
      <c r="FT62" s="40"/>
    </row>
    <row r="63" spans="2:176" s="34" customFormat="1" ht="15" customHeight="1">
      <c r="B63" s="37"/>
      <c r="C63" s="37"/>
      <c r="D63" s="37"/>
      <c r="E63" s="37"/>
      <c r="F63" s="37"/>
      <c r="G63" s="37"/>
      <c r="N63" s="40"/>
      <c r="O63" s="42" t="s">
        <v>184</v>
      </c>
      <c r="P63" s="40">
        <v>0</v>
      </c>
      <c r="Q63" s="43"/>
      <c r="R63" s="40"/>
      <c r="S63" s="40"/>
      <c r="T63" s="40"/>
      <c r="U63" s="40"/>
      <c r="V63" s="40"/>
      <c r="W63" s="40"/>
      <c r="X63" s="40"/>
      <c r="Y63" s="40">
        <f>MOD(V$4+OBSERVATIONS!$AO$13+I55,360)</f>
        <v>88.487401865924767</v>
      </c>
      <c r="Z63" s="40">
        <f t="shared" si="260"/>
        <v>88.487401865924767</v>
      </c>
      <c r="AA63" s="40">
        <f>J55</f>
        <v>-37.116822380250596</v>
      </c>
      <c r="AB63" s="40">
        <f t="shared" si="261"/>
        <v>0</v>
      </c>
      <c r="AC63" s="40">
        <f>ABS(TAN(RADIANS(ABS(OBSERVATIONS!$AO$12)))/TAN(RADIANS(ABS(Z63))))</f>
        <v>3.8526443536125984E-2</v>
      </c>
      <c r="AD63" s="40">
        <f>IF(AB63=0,IF(OBSERVATIONS!$AY$35="N",-AC63,AC63),IF(OBSERVATIONS!$AY$35="N",AC63,-AC63))</f>
        <v>-3.8526443536125984E-2</v>
      </c>
      <c r="AE63" s="40">
        <f t="shared" si="262"/>
        <v>-0.75701949258683443</v>
      </c>
      <c r="AF63" s="40">
        <f t="shared" si="263"/>
        <v>-0.79554593612296043</v>
      </c>
      <c r="AG63" s="40">
        <f>ABS(DEGREES(ATAN(1/(COS(RADIANS(ABS(OBSERVATIONS!$AO$12)))*AF63))))</f>
        <v>65.783564054904176</v>
      </c>
      <c r="AH63" s="40">
        <f t="shared" si="264"/>
        <v>245.78356405490416</v>
      </c>
      <c r="AI63" s="40">
        <f>AA63-OBSERVATIONS!$AO$12</f>
        <v>-92.69015571358392</v>
      </c>
      <c r="AJ63" s="44">
        <f>DEGREES(ASIN(SIN(RADIANS(OBSERVATIONS!$AO$12))*SIN(RADIANS(AA63))+COS(RADIANS(OBSERVATIONS!$AO$12))*COS(RADIANS(AA63))*COS(RADIANS(Y63))))</f>
        <v>-29.068143138814275</v>
      </c>
      <c r="AK63" s="44">
        <f t="shared" si="265"/>
        <v>-29.068143138814275</v>
      </c>
      <c r="AL63" s="37" t="s">
        <v>184</v>
      </c>
      <c r="AM63" s="44">
        <f t="shared" si="266"/>
        <v>245.78356405490416</v>
      </c>
      <c r="AN63" s="44">
        <f t="shared" si="267"/>
        <v>-29.068143138814275</v>
      </c>
      <c r="AO63" s="44"/>
      <c r="AP63" s="44"/>
      <c r="AQ63" s="40"/>
      <c r="AR63" s="44"/>
      <c r="AS63" s="44"/>
      <c r="AT63" s="44"/>
      <c r="AU63" s="44"/>
      <c r="AV63" s="44"/>
      <c r="AW63" s="44"/>
      <c r="AX63" s="40"/>
      <c r="AY63" s="44"/>
      <c r="AZ63" s="40"/>
      <c r="BA63" s="44"/>
      <c r="BB63" s="40"/>
      <c r="BC63" s="44"/>
      <c r="BI63" s="41"/>
      <c r="BK63" s="41"/>
      <c r="BM63" s="41"/>
      <c r="BN63" s="41"/>
      <c r="BO63" s="41"/>
      <c r="BP63" s="41"/>
      <c r="BQ63" s="41"/>
      <c r="BS63" s="41"/>
      <c r="BT63" s="41"/>
      <c r="BU63" s="41"/>
      <c r="BV63" s="41"/>
      <c r="CC63" s="41"/>
      <c r="CE63" s="41"/>
      <c r="CF63" s="41"/>
      <c r="CG63" s="41"/>
      <c r="CH63" s="41"/>
      <c r="CI63" s="41"/>
      <c r="CJ63" s="41"/>
      <c r="CK63" s="41"/>
      <c r="CL63" s="41"/>
      <c r="CM63" s="41"/>
      <c r="CN63" s="41"/>
      <c r="CO63" s="41"/>
      <c r="CQ63" s="41"/>
      <c r="CR63" s="41"/>
      <c r="CS63" s="41"/>
      <c r="CT63" s="41"/>
      <c r="CU63" s="41"/>
      <c r="CW63" s="44"/>
      <c r="CX63" s="44"/>
      <c r="CY63" s="44"/>
      <c r="CZ63" s="44"/>
      <c r="DA63" s="44"/>
      <c r="DB63" s="40"/>
      <c r="DC63" s="40"/>
      <c r="DD63" s="44"/>
      <c r="DE63" s="40"/>
      <c r="DF63" s="40"/>
      <c r="DG63" s="40"/>
      <c r="DH63" s="40"/>
      <c r="DI63" s="47"/>
      <c r="DJ63" s="47"/>
      <c r="DK63" s="47"/>
      <c r="DL63" s="48"/>
      <c r="DM63" s="47"/>
      <c r="DN63" s="47"/>
      <c r="DO63" s="47"/>
      <c r="DP63" s="47"/>
      <c r="DQ63" s="47"/>
      <c r="DR63" s="47"/>
      <c r="DS63" s="47"/>
      <c r="DT63" s="47"/>
      <c r="DU63" s="47"/>
      <c r="DV63" s="47"/>
      <c r="DW63" s="47"/>
      <c r="DX63" s="47"/>
      <c r="DY63" s="47"/>
      <c r="DZ63" s="47"/>
      <c r="EA63" s="47"/>
      <c r="EB63" s="47"/>
      <c r="EC63" s="47"/>
      <c r="ED63" s="47"/>
      <c r="EE63" s="47"/>
      <c r="EF63" s="47"/>
      <c r="EG63" s="40"/>
      <c r="EH63" s="40"/>
      <c r="EI63" s="40"/>
      <c r="EJ63" s="40"/>
      <c r="EK63" s="40"/>
      <c r="EL63" s="40"/>
      <c r="EM63" s="40"/>
      <c r="EN63" s="40"/>
      <c r="EO63" s="40"/>
      <c r="EP63" s="40"/>
      <c r="EQ63" s="40"/>
      <c r="ER63" s="40"/>
      <c r="ES63" s="40"/>
      <c r="ET63" s="40"/>
      <c r="EU63" s="40"/>
      <c r="EV63" s="40"/>
      <c r="EW63" s="40"/>
      <c r="EX63" s="40"/>
      <c r="EY63" s="40"/>
      <c r="EZ63" s="40"/>
      <c r="FA63" s="40"/>
      <c r="FB63" s="40"/>
      <c r="FC63" s="40"/>
      <c r="FD63" s="40"/>
      <c r="FE63" s="40"/>
      <c r="FF63" s="40"/>
      <c r="FG63" s="40"/>
      <c r="FH63" s="40"/>
      <c r="FI63" s="40"/>
      <c r="FJ63" s="40"/>
      <c r="FK63" s="40"/>
      <c r="FL63" s="40"/>
      <c r="FM63" s="40"/>
      <c r="FN63" s="40"/>
      <c r="FO63" s="40"/>
      <c r="FP63" s="40"/>
      <c r="FQ63" s="40"/>
      <c r="FR63" s="40"/>
      <c r="FS63" s="40"/>
      <c r="FT63" s="40"/>
    </row>
    <row r="64" spans="2:176" s="34" customFormat="1" ht="15" customHeight="1">
      <c r="B64" s="37"/>
      <c r="C64" s="37"/>
      <c r="D64" s="37"/>
      <c r="E64" s="37"/>
      <c r="F64" s="37"/>
      <c r="G64" s="37"/>
      <c r="N64" s="40"/>
      <c r="O64" s="42" t="s">
        <v>185</v>
      </c>
      <c r="P64" s="40">
        <v>0</v>
      </c>
      <c r="Q64" s="43"/>
      <c r="R64" s="40"/>
      <c r="S64" s="40"/>
      <c r="T64" s="40"/>
      <c r="U64" s="40"/>
      <c r="V64" s="40"/>
      <c r="W64" s="40"/>
      <c r="X64" s="40"/>
      <c r="Y64" s="40">
        <f>MOD(V$4+OBSERVATIONS!$AO$13+I56,360)</f>
        <v>250.56338139115314</v>
      </c>
      <c r="Z64" s="40">
        <f t="shared" si="260"/>
        <v>109.43661860884686</v>
      </c>
      <c r="AA64" s="40">
        <f>J56</f>
        <v>-16.740555114194482</v>
      </c>
      <c r="AB64" s="40">
        <f t="shared" si="261"/>
        <v>1</v>
      </c>
      <c r="AC64" s="40">
        <f>ABS(TAN(RADIANS(ABS(OBSERVATIONS!$AO$12)))/TAN(RADIANS(ABS(Z64))))</f>
        <v>0.51484547239770895</v>
      </c>
      <c r="AD64" s="40">
        <f>IF(AB64=0,IF(OBSERVATIONS!$AY$35="N",-AC64,AC64),IF(OBSERVATIONS!$AY$35="N",AC64,-AC64))</f>
        <v>0.51484547239770895</v>
      </c>
      <c r="AE64" s="40">
        <f t="shared" si="262"/>
        <v>-0.31896376057844694</v>
      </c>
      <c r="AF64" s="40">
        <f t="shared" si="263"/>
        <v>0.19588171181926201</v>
      </c>
      <c r="AG64" s="40">
        <f>ABS(DEGREES(ATAN(1/(COS(RADIANS(ABS(OBSERVATIONS!$AO$12)))*AF64))))</f>
        <v>83.680704494512611</v>
      </c>
      <c r="AH64" s="40">
        <f t="shared" si="264"/>
        <v>83.680704494512611</v>
      </c>
      <c r="AI64" s="40">
        <f>AA64-OBSERVATIONS!$AO$12</f>
        <v>-72.313888447527816</v>
      </c>
      <c r="AJ64" s="44">
        <f>DEGREES(ASIN(SIN(RADIANS(OBSERVATIONS!$AO$12))*SIN(RADIANS(AA64))+COS(RADIANS(OBSERVATIONS!$AO$12))*COS(RADIANS(AA64))*COS(RADIANS(Y64))))</f>
        <v>-24.692232853216364</v>
      </c>
      <c r="AK64" s="44">
        <f t="shared" si="265"/>
        <v>-24.692232853216364</v>
      </c>
      <c r="AL64" s="37" t="s">
        <v>185</v>
      </c>
      <c r="AM64" s="44">
        <f t="shared" si="266"/>
        <v>83.680704494512611</v>
      </c>
      <c r="AN64" s="44">
        <f t="shared" si="267"/>
        <v>-24.692232853216364</v>
      </c>
      <c r="AO64" s="44"/>
      <c r="AP64" s="44"/>
      <c r="AQ64" s="40"/>
      <c r="AR64" s="44"/>
      <c r="AS64" s="44"/>
      <c r="AT64" s="44"/>
      <c r="AU64" s="44"/>
      <c r="AV64" s="44"/>
      <c r="AW64" s="44"/>
      <c r="AX64" s="40"/>
      <c r="AY64" s="44"/>
      <c r="AZ64" s="40"/>
      <c r="BA64" s="44"/>
      <c r="BB64" s="40"/>
      <c r="BC64" s="44"/>
      <c r="BI64" s="41"/>
      <c r="BK64" s="41"/>
      <c r="BM64" s="41"/>
      <c r="BN64" s="41"/>
      <c r="BO64" s="41"/>
      <c r="BP64" s="41"/>
      <c r="BQ64" s="41"/>
      <c r="BS64" s="41"/>
      <c r="BT64" s="41"/>
      <c r="BU64" s="41"/>
      <c r="BV64" s="41"/>
      <c r="CC64" s="41"/>
      <c r="CE64" s="41"/>
      <c r="CF64" s="41"/>
      <c r="CG64" s="41"/>
      <c r="CH64" s="41"/>
      <c r="CI64" s="41"/>
      <c r="CJ64" s="41"/>
      <c r="CK64" s="41"/>
      <c r="CL64" s="41"/>
      <c r="CM64" s="41"/>
      <c r="CN64" s="41"/>
      <c r="CO64" s="41"/>
      <c r="CQ64" s="41"/>
      <c r="CR64" s="41"/>
      <c r="CS64" s="41"/>
      <c r="CT64" s="41"/>
      <c r="CU64" s="41"/>
      <c r="CW64" s="44"/>
      <c r="CX64" s="44"/>
      <c r="CY64" s="44"/>
      <c r="CZ64" s="44"/>
      <c r="DA64" s="44"/>
      <c r="DB64" s="40"/>
      <c r="DC64" s="40"/>
      <c r="DD64" s="44"/>
      <c r="DE64" s="40"/>
      <c r="DF64" s="40"/>
      <c r="DG64" s="40"/>
      <c r="DH64" s="40"/>
      <c r="DI64" s="47"/>
      <c r="DJ64" s="47"/>
      <c r="DK64" s="47"/>
      <c r="DL64" s="47"/>
      <c r="DM64" s="47"/>
      <c r="DN64" s="47"/>
      <c r="DO64" s="47"/>
      <c r="DP64" s="47"/>
      <c r="DQ64" s="47"/>
      <c r="DR64" s="47"/>
      <c r="DS64" s="47"/>
      <c r="DT64" s="47"/>
      <c r="DU64" s="47"/>
      <c r="DV64" s="47"/>
      <c r="DW64" s="47"/>
      <c r="DX64" s="47"/>
      <c r="DY64" s="47"/>
      <c r="DZ64" s="47"/>
      <c r="EA64" s="47"/>
      <c r="EB64" s="47"/>
      <c r="EC64" s="47"/>
      <c r="ED64" s="47"/>
      <c r="EE64" s="47"/>
      <c r="EF64" s="47"/>
      <c r="EG64" s="40"/>
      <c r="EH64" s="40"/>
      <c r="EI64" s="40"/>
      <c r="EJ64" s="40"/>
      <c r="EK64" s="40"/>
      <c r="EL64" s="40"/>
      <c r="EM64" s="40"/>
      <c r="EN64" s="40"/>
      <c r="EO64" s="40"/>
      <c r="EP64" s="40"/>
      <c r="EQ64" s="40"/>
      <c r="ER64" s="40"/>
      <c r="ES64" s="40"/>
      <c r="ET64" s="40"/>
      <c r="EU64" s="40"/>
      <c r="EV64" s="40"/>
      <c r="EW64" s="40"/>
      <c r="EX64" s="40"/>
      <c r="EY64" s="40"/>
      <c r="EZ64" s="40"/>
      <c r="FA64" s="40"/>
      <c r="FB64" s="40"/>
      <c r="FC64" s="40"/>
      <c r="FD64" s="40"/>
      <c r="FE64" s="40"/>
      <c r="FF64" s="40"/>
      <c r="FG64" s="40"/>
      <c r="FH64" s="40"/>
      <c r="FI64" s="40"/>
      <c r="FJ64" s="40"/>
      <c r="FK64" s="40"/>
      <c r="FL64" s="40"/>
      <c r="FM64" s="40"/>
      <c r="FN64" s="40"/>
      <c r="FO64" s="40"/>
      <c r="FP64" s="40"/>
      <c r="FQ64" s="40"/>
      <c r="FR64" s="40"/>
      <c r="FS64" s="40"/>
      <c r="FT64" s="40"/>
    </row>
    <row r="65" spans="4:178" s="34" customFormat="1" ht="15" customHeight="1">
      <c r="D65" s="37"/>
      <c r="E65" s="37"/>
      <c r="F65" s="37"/>
      <c r="G65" s="37"/>
      <c r="H65" s="37"/>
      <c r="I65" s="37"/>
      <c r="N65" s="40"/>
      <c r="O65" s="42" t="s">
        <v>186</v>
      </c>
      <c r="P65" s="40">
        <v>0</v>
      </c>
      <c r="Q65" s="40"/>
      <c r="R65" s="40"/>
      <c r="S65" s="43"/>
      <c r="T65" s="40"/>
      <c r="U65" s="40"/>
      <c r="V65" s="40"/>
      <c r="W65" s="40"/>
      <c r="X65" s="40"/>
      <c r="Y65" s="40">
        <f>MOD(V$4+OBSERVATIONS!$AO$13+I57,360)</f>
        <v>150.56089528411599</v>
      </c>
      <c r="Z65" s="40">
        <f t="shared" si="260"/>
        <v>150.56089528411599</v>
      </c>
      <c r="AA65" s="40">
        <f>J57</f>
        <v>-11.279744213427879</v>
      </c>
      <c r="AB65" s="40">
        <f t="shared" si="261"/>
        <v>1</v>
      </c>
      <c r="AC65" s="40">
        <f>ABS(TAN(RADIANS(ABS(OBSERVATIONS!$AO$12)))/TAN(RADIANS(ABS(Z65))))</f>
        <v>2.5851914356545294</v>
      </c>
      <c r="AD65" s="40">
        <f>IF(AB65=0,IF(OBSERVATIONS!$AY$35="N",-AC65,AC65),IF(OBSERVATIONS!$AY$35="N",AC65,-AC65))</f>
        <v>2.5851914356545294</v>
      </c>
      <c r="AE65" s="40">
        <f t="shared" si="262"/>
        <v>-0.40580429045758021</v>
      </c>
      <c r="AF65" s="40">
        <f t="shared" si="263"/>
        <v>2.1793871451969493</v>
      </c>
      <c r="AG65" s="40">
        <f>ABS(DEGREES(ATAN(1/(COS(RADIANS(ABS(OBSERVATIONS!$AO$12)))*AF65))))</f>
        <v>39.063135120625248</v>
      </c>
      <c r="AH65" s="40">
        <f t="shared" si="264"/>
        <v>320.93686487937475</v>
      </c>
      <c r="AI65" s="40">
        <f>AA65-OBSERVATIONS!$AO$12</f>
        <v>-66.853077546761213</v>
      </c>
      <c r="AJ65" s="44">
        <f>DEGREES(ASIN(SIN(RADIANS(OBSERVATIONS!$AO$12))*SIN(RADIANS(AA65))+COS(RADIANS(OBSERVATIONS!$AO$12))*COS(RADIANS(AA65))*COS(RADIANS(Y65))))</f>
        <v>-40.104372560541002</v>
      </c>
      <c r="AK65" s="44">
        <f t="shared" si="265"/>
        <v>-40.104372560541002</v>
      </c>
      <c r="AL65" s="37" t="s">
        <v>186</v>
      </c>
      <c r="AM65" s="44">
        <f t="shared" si="266"/>
        <v>320.93686487937475</v>
      </c>
      <c r="AN65" s="44">
        <f t="shared" si="267"/>
        <v>-40.104372560541002</v>
      </c>
      <c r="AO65" s="40"/>
      <c r="AP65" s="40"/>
      <c r="AQ65" s="44"/>
      <c r="AR65" s="44"/>
      <c r="AS65" s="40"/>
      <c r="AT65" s="44"/>
      <c r="AU65" s="44"/>
      <c r="AV65" s="44"/>
      <c r="AW65" s="44"/>
      <c r="AX65" s="44"/>
      <c r="AY65" s="44"/>
      <c r="AZ65" s="40"/>
      <c r="BA65" s="44"/>
      <c r="BB65" s="40"/>
      <c r="BC65" s="44"/>
      <c r="BE65" s="41"/>
      <c r="BK65" s="41"/>
      <c r="BM65" s="41"/>
      <c r="BO65" s="41"/>
      <c r="BP65" s="41"/>
      <c r="BQ65" s="41"/>
      <c r="BR65" s="41"/>
      <c r="BS65" s="41"/>
      <c r="BU65" s="41"/>
      <c r="BV65" s="41"/>
      <c r="BW65" s="41"/>
      <c r="BX65" s="41"/>
      <c r="CE65" s="41"/>
      <c r="CG65" s="41"/>
      <c r="CH65" s="41"/>
      <c r="CI65" s="41"/>
      <c r="CJ65" s="41"/>
      <c r="CK65" s="41"/>
      <c r="CL65" s="41"/>
      <c r="CM65" s="41"/>
      <c r="CN65" s="41"/>
      <c r="CO65" s="41"/>
      <c r="CP65" s="41"/>
      <c r="CQ65" s="41"/>
      <c r="CS65" s="41"/>
      <c r="CT65" s="41"/>
      <c r="CU65" s="41"/>
      <c r="CV65" s="41"/>
      <c r="CW65" s="44"/>
      <c r="CX65" s="40"/>
      <c r="CY65" s="44"/>
      <c r="CZ65" s="44"/>
      <c r="DA65" s="44"/>
      <c r="DB65" s="44"/>
      <c r="DC65" s="44"/>
      <c r="DD65" s="40"/>
      <c r="DE65" s="40"/>
      <c r="DF65" s="44"/>
      <c r="DG65" s="40"/>
      <c r="DH65" s="40"/>
      <c r="DI65" s="40"/>
      <c r="DJ65" s="40"/>
      <c r="DK65" s="47"/>
      <c r="DL65" s="47"/>
      <c r="DM65" s="47"/>
      <c r="DN65" s="47"/>
      <c r="DO65" s="47"/>
      <c r="DP65" s="47"/>
      <c r="DQ65" s="47"/>
      <c r="DR65" s="47"/>
      <c r="DS65" s="47"/>
      <c r="DT65" s="47"/>
      <c r="DU65" s="47"/>
      <c r="DV65" s="47"/>
      <c r="DW65" s="47"/>
      <c r="DX65" s="47"/>
      <c r="DY65" s="47"/>
      <c r="DZ65" s="47"/>
      <c r="EA65" s="47"/>
      <c r="EB65" s="47"/>
      <c r="EC65" s="47"/>
      <c r="ED65" s="47"/>
      <c r="EE65" s="47"/>
      <c r="EF65" s="47"/>
      <c r="EG65" s="47"/>
      <c r="EH65" s="47"/>
      <c r="EI65" s="40"/>
      <c r="EJ65" s="40"/>
      <c r="EK65" s="40"/>
      <c r="EL65" s="40"/>
      <c r="EM65" s="40"/>
      <c r="EN65" s="40"/>
      <c r="EO65" s="40"/>
      <c r="EP65" s="40"/>
      <c r="EQ65" s="40"/>
      <c r="ER65" s="40"/>
      <c r="ES65" s="40"/>
      <c r="ET65" s="40"/>
      <c r="EU65" s="40"/>
      <c r="EV65" s="40"/>
      <c r="EW65" s="40"/>
      <c r="EX65" s="40"/>
      <c r="EY65" s="40"/>
      <c r="EZ65" s="40"/>
      <c r="FA65" s="40"/>
      <c r="FB65" s="40"/>
      <c r="FC65" s="40"/>
      <c r="FD65" s="40"/>
      <c r="FE65" s="40"/>
      <c r="FF65" s="40"/>
      <c r="FG65" s="40"/>
      <c r="FH65" s="40"/>
      <c r="FI65" s="40"/>
      <c r="FJ65" s="40"/>
      <c r="FK65" s="40"/>
      <c r="FL65" s="40"/>
      <c r="FM65" s="40"/>
      <c r="FN65" s="40"/>
      <c r="FO65" s="40"/>
      <c r="FP65" s="40"/>
      <c r="FQ65" s="40"/>
      <c r="FR65" s="40"/>
      <c r="FS65" s="40"/>
      <c r="FT65" s="40"/>
      <c r="FU65" s="40"/>
      <c r="FV65" s="40"/>
    </row>
    <row r="66" spans="4:178" s="34" customFormat="1" ht="15" customHeight="1">
      <c r="D66" s="37"/>
      <c r="E66" s="37"/>
      <c r="F66" s="37"/>
      <c r="G66" s="37"/>
      <c r="H66" s="37"/>
      <c r="I66" s="37"/>
      <c r="N66" s="40"/>
      <c r="O66" s="42" t="s">
        <v>187</v>
      </c>
      <c r="P66" s="40">
        <v>0</v>
      </c>
      <c r="Q66" s="40"/>
      <c r="R66" s="40"/>
      <c r="S66" s="43"/>
      <c r="T66" s="40"/>
      <c r="U66" s="40"/>
      <c r="V66" s="40"/>
      <c r="W66" s="40"/>
      <c r="X66" s="40"/>
      <c r="Y66" s="40">
        <f>MOD(V$4+OBSERVATIONS!$AO$13+I58,360)</f>
        <v>214.86686278279547</v>
      </c>
      <c r="Z66" s="40">
        <f t="shared" si="260"/>
        <v>145.13313721720453</v>
      </c>
      <c r="AA66" s="40">
        <f>J58</f>
        <v>-43.525294480141085</v>
      </c>
      <c r="AB66" s="40">
        <f t="shared" si="261"/>
        <v>1</v>
      </c>
      <c r="AC66" s="40">
        <f>ABS(TAN(RADIANS(ABS(OBSERVATIONS!$AO$12)))/TAN(RADIANS(ABS(Z66))))</f>
        <v>2.0940159396291977</v>
      </c>
      <c r="AD66" s="40">
        <f>IF(AB66=0,IF(OBSERVATIONS!$AY$35="N",-AC66,AC66),IF(OBSERVATIONS!$AY$35="N",AC66,-AC66))</f>
        <v>2.0940159396291977</v>
      </c>
      <c r="AE66" s="40">
        <f t="shared" si="262"/>
        <v>-1.661450763957429</v>
      </c>
      <c r="AF66" s="40">
        <f t="shared" si="263"/>
        <v>0.43256517567176878</v>
      </c>
      <c r="AG66" s="40">
        <f>ABS(DEGREES(ATAN(1/(COS(RADIANS(ABS(OBSERVATIONS!$AO$12)))*AF66))))</f>
        <v>76.25796328759445</v>
      </c>
      <c r="AH66" s="40">
        <f t="shared" si="264"/>
        <v>76.25796328759445</v>
      </c>
      <c r="AI66" s="40">
        <f>AA66-OBSERVATIONS!$AO$12</f>
        <v>-99.098627813474423</v>
      </c>
      <c r="AJ66" s="44">
        <f>DEGREES(ASIN(SIN(RADIANS(OBSERVATIONS!$AO$12))*SIN(RADIANS(AA66))+COS(RADIANS(OBSERVATIONS!$AO$12))*COS(RADIANS(AA66))*COS(RADIANS(Y66))))</f>
        <v>-64.740621980543864</v>
      </c>
      <c r="AK66" s="44">
        <f t="shared" si="265"/>
        <v>-64.740621980543864</v>
      </c>
      <c r="AL66" s="37" t="s">
        <v>187</v>
      </c>
      <c r="AM66" s="44">
        <f t="shared" si="266"/>
        <v>76.25796328759445</v>
      </c>
      <c r="AN66" s="44">
        <f t="shared" si="267"/>
        <v>-64.740621980543864</v>
      </c>
      <c r="AO66" s="40"/>
      <c r="AP66" s="40"/>
      <c r="AQ66" s="44"/>
      <c r="AR66" s="44"/>
      <c r="AS66" s="40"/>
      <c r="AT66" s="44"/>
      <c r="AU66" s="44"/>
      <c r="AV66" s="44"/>
      <c r="AW66" s="44"/>
      <c r="AX66" s="44"/>
      <c r="AY66" s="44"/>
      <c r="AZ66" s="40"/>
      <c r="BA66" s="44"/>
      <c r="BB66" s="40"/>
      <c r="BC66" s="44"/>
      <c r="BE66" s="41"/>
      <c r="BK66" s="41"/>
      <c r="BM66" s="41"/>
      <c r="BO66" s="41"/>
      <c r="BP66" s="41"/>
      <c r="BQ66" s="41"/>
      <c r="BR66" s="41"/>
      <c r="BS66" s="41"/>
      <c r="BU66" s="41"/>
      <c r="BV66" s="41"/>
      <c r="BW66" s="41"/>
      <c r="BX66" s="41"/>
      <c r="CE66" s="41"/>
      <c r="CG66" s="41"/>
      <c r="CH66" s="41"/>
      <c r="CI66" s="41"/>
      <c r="CJ66" s="41"/>
      <c r="CK66" s="41"/>
      <c r="CL66" s="41"/>
      <c r="CM66" s="41"/>
      <c r="CN66" s="41"/>
      <c r="CO66" s="41"/>
      <c r="CP66" s="41"/>
      <c r="CQ66" s="41"/>
      <c r="CS66" s="41"/>
      <c r="CT66" s="41"/>
      <c r="CU66" s="41"/>
      <c r="CV66" s="41"/>
      <c r="CW66" s="44"/>
      <c r="CX66" s="40"/>
      <c r="CY66" s="44"/>
      <c r="CZ66" s="44"/>
      <c r="DA66" s="44"/>
      <c r="DB66" s="44"/>
      <c r="DC66" s="44"/>
      <c r="DD66" s="40"/>
      <c r="DE66" s="40"/>
      <c r="DF66" s="44"/>
      <c r="DG66" s="40"/>
      <c r="DH66" s="40"/>
      <c r="DI66" s="40"/>
      <c r="DJ66" s="40"/>
      <c r="DK66" s="47"/>
      <c r="DL66" s="47"/>
      <c r="DM66" s="47"/>
      <c r="DN66" s="47"/>
      <c r="DO66" s="47"/>
      <c r="DP66" s="47"/>
      <c r="DQ66" s="47"/>
      <c r="DR66" s="47"/>
      <c r="DS66" s="47"/>
      <c r="DT66" s="47"/>
      <c r="DU66" s="47"/>
      <c r="DV66" s="47"/>
      <c r="DW66" s="47"/>
      <c r="DX66" s="47"/>
      <c r="DY66" s="47"/>
      <c r="DZ66" s="47"/>
      <c r="EA66" s="47"/>
      <c r="EB66" s="47"/>
      <c r="EC66" s="47"/>
      <c r="ED66" s="47"/>
      <c r="EE66" s="47"/>
      <c r="EF66" s="47"/>
      <c r="EG66" s="47"/>
      <c r="EH66" s="47"/>
      <c r="EI66" s="40"/>
      <c r="EJ66" s="40"/>
      <c r="EK66" s="40"/>
      <c r="EL66" s="40"/>
      <c r="EM66" s="40"/>
      <c r="EN66" s="40"/>
      <c r="EO66" s="40"/>
      <c r="EP66" s="40"/>
      <c r="EQ66" s="40"/>
      <c r="ER66" s="40"/>
      <c r="ES66" s="40"/>
      <c r="ET66" s="40"/>
      <c r="EU66" s="40"/>
      <c r="EV66" s="40"/>
      <c r="EW66" s="40"/>
      <c r="EX66" s="40"/>
      <c r="EY66" s="40"/>
      <c r="EZ66" s="40"/>
      <c r="FA66" s="40"/>
      <c r="FB66" s="40"/>
      <c r="FC66" s="40"/>
      <c r="FD66" s="40"/>
      <c r="FE66" s="40"/>
      <c r="FF66" s="40"/>
      <c r="FG66" s="40"/>
      <c r="FH66" s="40"/>
      <c r="FI66" s="40"/>
      <c r="FJ66" s="40"/>
      <c r="FK66" s="40"/>
      <c r="FL66" s="40"/>
      <c r="FM66" s="40"/>
      <c r="FN66" s="40"/>
      <c r="FO66" s="40"/>
      <c r="FP66" s="40"/>
      <c r="FQ66" s="40"/>
      <c r="FR66" s="40"/>
      <c r="FS66" s="40"/>
      <c r="FT66" s="40"/>
      <c r="FU66" s="40"/>
      <c r="FV66" s="40"/>
    </row>
    <row r="67" spans="4:178" s="34" customFormat="1" ht="15" customHeight="1">
      <c r="D67" s="37"/>
      <c r="E67" s="37"/>
      <c r="F67" s="37"/>
      <c r="G67" s="37"/>
      <c r="H67" s="37"/>
      <c r="I67" s="37"/>
      <c r="N67" s="40"/>
      <c r="O67" s="42" t="s">
        <v>188</v>
      </c>
      <c r="P67" s="40">
        <v>0</v>
      </c>
      <c r="Q67" s="40"/>
      <c r="R67" s="40"/>
      <c r="S67" s="43"/>
      <c r="T67" s="40"/>
      <c r="U67" s="40"/>
      <c r="V67" s="40"/>
      <c r="W67" s="40"/>
      <c r="X67" s="40"/>
      <c r="Y67" s="40">
        <f>MOD(V$4+OBSERVATIONS!$AO$13+I59,360)</f>
        <v>72.591937073804672</v>
      </c>
      <c r="Z67" s="40">
        <f t="shared" si="260"/>
        <v>72.591937073804672</v>
      </c>
      <c r="AA67" s="40">
        <f>J59</f>
        <v>38.804013451430862</v>
      </c>
      <c r="AB67" s="40">
        <f t="shared" si="261"/>
        <v>0</v>
      </c>
      <c r="AC67" s="40">
        <f>ABS(TAN(RADIANS(ABS(OBSERVATIONS!$AO$12)))/TAN(RADIANS(ABS(Z67))))</f>
        <v>0.45745026125336813</v>
      </c>
      <c r="AD67" s="40">
        <f>IF(AB67=0,IF(OBSERVATIONS!$AY$35="N",-AC67,AC67),IF(OBSERVATIONS!$AY$35="N",AC67,-AC67))</f>
        <v>-0.45745026125336813</v>
      </c>
      <c r="AE67" s="40">
        <f t="shared" si="262"/>
        <v>0.84273471545850287</v>
      </c>
      <c r="AF67" s="40">
        <f t="shared" si="263"/>
        <v>0.38528445420513474</v>
      </c>
      <c r="AG67" s="40">
        <f>ABS(DEGREES(ATAN(1/(COS(RADIANS(ABS(OBSERVATIONS!$AO$12)))*AF67))))</f>
        <v>77.711722962237673</v>
      </c>
      <c r="AH67" s="40">
        <f t="shared" si="264"/>
        <v>282.28827703776233</v>
      </c>
      <c r="AI67" s="40">
        <f>AA67-OBSERVATIONS!$AO$12</f>
        <v>-16.769319881902469</v>
      </c>
      <c r="AJ67" s="44">
        <f>DEGREES(ASIN(SIN(RADIANS(OBSERVATIONS!$AO$12))*SIN(RADIANS(AA67))+COS(RADIANS(OBSERVATIONS!$AO$12))*COS(RADIANS(AA67))*COS(RADIANS(Y67))))</f>
        <v>40.444293423819246</v>
      </c>
      <c r="AK67" s="44">
        <f t="shared" si="265"/>
        <v>40.444293423819246</v>
      </c>
      <c r="AL67" s="37" t="s">
        <v>188</v>
      </c>
      <c r="AM67" s="44">
        <f t="shared" si="266"/>
        <v>282.28827703776233</v>
      </c>
      <c r="AN67" s="44">
        <f t="shared" si="267"/>
        <v>40.444293423819246</v>
      </c>
      <c r="AO67" s="40"/>
      <c r="AP67" s="40"/>
      <c r="AQ67" s="44"/>
      <c r="AR67" s="44"/>
      <c r="AS67" s="40"/>
      <c r="AT67" s="44"/>
      <c r="AU67" s="44"/>
      <c r="AV67" s="44"/>
      <c r="AW67" s="44"/>
      <c r="AX67" s="44"/>
      <c r="AY67" s="44"/>
      <c r="AZ67" s="40"/>
      <c r="BA67" s="44"/>
      <c r="BB67" s="40"/>
      <c r="BC67" s="44"/>
      <c r="BE67" s="41"/>
      <c r="BK67" s="41"/>
      <c r="BM67" s="41"/>
      <c r="BO67" s="41"/>
      <c r="BP67" s="41"/>
      <c r="BQ67" s="41"/>
      <c r="BR67" s="41"/>
      <c r="BS67" s="41"/>
      <c r="BU67" s="41"/>
      <c r="BV67" s="41"/>
      <c r="BW67" s="41"/>
      <c r="BX67" s="41"/>
      <c r="CE67" s="41"/>
      <c r="CG67" s="41"/>
      <c r="CH67" s="41"/>
      <c r="CI67" s="41"/>
      <c r="CJ67" s="41"/>
      <c r="CK67" s="41"/>
      <c r="CL67" s="41"/>
      <c r="CM67" s="41"/>
      <c r="CN67" s="41"/>
      <c r="CO67" s="41"/>
      <c r="CP67" s="41"/>
      <c r="CQ67" s="41"/>
      <c r="CS67" s="41"/>
      <c r="CT67" s="41"/>
      <c r="CU67" s="41"/>
      <c r="CV67" s="41"/>
      <c r="CW67" s="44"/>
      <c r="CX67" s="40"/>
      <c r="CY67" s="44"/>
      <c r="CZ67" s="44"/>
      <c r="DA67" s="44"/>
      <c r="DB67" s="44"/>
      <c r="DC67" s="44"/>
      <c r="DD67" s="40"/>
      <c r="DE67" s="40"/>
      <c r="DF67" s="44"/>
      <c r="DG67" s="40"/>
      <c r="DH67" s="40"/>
      <c r="DI67" s="40"/>
      <c r="DJ67" s="40"/>
      <c r="DK67" s="47"/>
      <c r="DL67" s="47"/>
      <c r="DM67" s="47"/>
      <c r="DN67" s="47"/>
      <c r="DO67" s="47"/>
      <c r="DP67" s="47"/>
      <c r="DQ67" s="47"/>
      <c r="DR67" s="47"/>
      <c r="DS67" s="47"/>
      <c r="DT67" s="47"/>
      <c r="DU67" s="47"/>
      <c r="DV67" s="47"/>
      <c r="DW67" s="47"/>
      <c r="DX67" s="47"/>
      <c r="DY67" s="47"/>
      <c r="DZ67" s="47"/>
      <c r="EA67" s="47"/>
      <c r="EB67" s="47"/>
      <c r="EC67" s="47"/>
      <c r="ED67" s="47"/>
      <c r="EE67" s="47"/>
      <c r="EF67" s="47"/>
      <c r="EG67" s="47"/>
      <c r="EH67" s="47"/>
      <c r="EI67" s="40"/>
      <c r="EJ67" s="40"/>
      <c r="EK67" s="40"/>
      <c r="EL67" s="40"/>
      <c r="EM67" s="40"/>
      <c r="EN67" s="40"/>
      <c r="EO67" s="40"/>
      <c r="EP67" s="40"/>
      <c r="EQ67" s="40"/>
      <c r="ER67" s="40"/>
      <c r="ES67" s="40"/>
      <c r="ET67" s="40"/>
      <c r="EU67" s="40"/>
      <c r="EV67" s="40"/>
      <c r="EW67" s="40"/>
      <c r="EX67" s="40"/>
      <c r="EY67" s="40"/>
      <c r="EZ67" s="40"/>
      <c r="FA67" s="40"/>
      <c r="FB67" s="40"/>
      <c r="FC67" s="40"/>
      <c r="FD67" s="40"/>
      <c r="FE67" s="40"/>
      <c r="FF67" s="40"/>
      <c r="FG67" s="40"/>
      <c r="FH67" s="40"/>
      <c r="FI67" s="40"/>
      <c r="FJ67" s="40"/>
      <c r="FK67" s="40"/>
      <c r="FL67" s="40"/>
      <c r="FM67" s="40"/>
      <c r="FN67" s="40"/>
      <c r="FO67" s="40"/>
      <c r="FP67" s="40"/>
      <c r="FQ67" s="40"/>
      <c r="FR67" s="40"/>
      <c r="FS67" s="40"/>
      <c r="FT67" s="40"/>
      <c r="FU67" s="40"/>
      <c r="FV67" s="40"/>
    </row>
    <row r="68" spans="4:178" s="34" customFormat="1" ht="15" customHeight="1">
      <c r="D68" s="37"/>
      <c r="E68" s="37"/>
      <c r="F68" s="37"/>
      <c r="G68" s="37"/>
      <c r="H68" s="37"/>
      <c r="I68" s="37"/>
      <c r="N68" s="40"/>
      <c r="O68" s="42" t="s">
        <v>3</v>
      </c>
      <c r="P68" s="40">
        <v>1</v>
      </c>
      <c r="Q68" s="40">
        <f>FQ4</f>
        <v>212.68585441274072</v>
      </c>
      <c r="R68" s="40">
        <f>FQ5</f>
        <v>35.940506147044914</v>
      </c>
      <c r="S68" s="43">
        <f>FQ6</f>
        <v>225.21886077948054</v>
      </c>
      <c r="T68" s="40">
        <f>FP4</f>
        <v>10.38085637100431</v>
      </c>
      <c r="U68" s="40">
        <f>FP5</f>
        <v>-21.095035549552151</v>
      </c>
      <c r="V68" s="40">
        <f>FP6</f>
        <v>10.385225795881835</v>
      </c>
      <c r="W68" s="40"/>
      <c r="X68" s="40"/>
      <c r="Y68" s="40">
        <f>MOD(Q68+OBSERVATIONS!$AO$13,360)</f>
        <v>219.46918774607406</v>
      </c>
      <c r="Z68" s="40">
        <f t="shared" si="260"/>
        <v>140.53081225392594</v>
      </c>
      <c r="AA68" s="40">
        <f>T68</f>
        <v>10.38085637100431</v>
      </c>
      <c r="AB68" s="40">
        <f t="shared" si="261"/>
        <v>1</v>
      </c>
      <c r="AC68" s="40">
        <f>ABS(TAN(RADIANS(ABS(OBSERVATIONS!$AO$12)))/TAN(RADIANS(ABS(Z68))))</f>
        <v>1.7718563538615684</v>
      </c>
      <c r="AD68" s="40">
        <f>IF(AB68=0,IF(OBSERVATIONS!$AY$35="N",-AC68,AC68),IF(OBSERVATIONS!$AY$35="N",AC68,-AC68))</f>
        <v>1.7718563538615684</v>
      </c>
      <c r="AE68" s="40">
        <f t="shared" si="262"/>
        <v>0.28818563186248414</v>
      </c>
      <c r="AF68" s="40">
        <f t="shared" si="263"/>
        <v>2.0600419857240526</v>
      </c>
      <c r="AG68" s="40">
        <f>ABS(DEGREES(ATAN(1/(COS(RADIANS(ABS(OBSERVATIONS!$AO$12)))*AF68))))</f>
        <v>40.650360300244309</v>
      </c>
      <c r="AH68" s="40">
        <f t="shared" si="264"/>
        <v>40.650360300244309</v>
      </c>
      <c r="AI68" s="40">
        <f>AA68-OBSERVATIONS!$AO$12</f>
        <v>-45.192476962329025</v>
      </c>
      <c r="AJ68" s="44">
        <f>DEGREES(ASIN(SIN(RADIANS(OBSERVATIONS!$AO$12))*SIN(RADIANS(AA68))+COS(RADIANS(OBSERVATIONS!$AO$12))*COS(RADIANS(AA68))*COS(RADIANS(Y68))))</f>
        <v>-16.299490364570335</v>
      </c>
      <c r="AK68" s="44">
        <f t="shared" si="265"/>
        <v>-16.299490364570335</v>
      </c>
      <c r="AL68" s="37" t="s">
        <v>3</v>
      </c>
      <c r="AM68" s="44">
        <f t="shared" si="266"/>
        <v>40.650360300244309</v>
      </c>
      <c r="AN68" s="44">
        <f t="shared" si="267"/>
        <v>-16.299490364570335</v>
      </c>
      <c r="AO68" s="40"/>
      <c r="AP68" s="40"/>
      <c r="AQ68" s="44"/>
      <c r="AR68" s="44"/>
      <c r="AS68" s="40"/>
      <c r="AT68" s="44"/>
      <c r="AU68" s="44"/>
      <c r="AV68" s="44"/>
      <c r="AW68" s="44"/>
      <c r="AX68" s="44"/>
      <c r="AY68" s="44"/>
      <c r="AZ68" s="40"/>
      <c r="BA68" s="44"/>
      <c r="BB68" s="40"/>
      <c r="BC68" s="44"/>
      <c r="BE68" s="41"/>
      <c r="BK68" s="41"/>
      <c r="BM68" s="41"/>
      <c r="BO68" s="41"/>
      <c r="BP68" s="41"/>
      <c r="BQ68" s="41"/>
      <c r="BR68" s="41"/>
      <c r="BS68" s="41"/>
      <c r="BU68" s="41"/>
      <c r="BV68" s="41"/>
      <c r="BW68" s="41"/>
      <c r="BX68" s="41"/>
      <c r="CE68" s="41"/>
      <c r="CG68" s="41"/>
      <c r="CH68" s="41"/>
      <c r="CI68" s="41"/>
      <c r="CJ68" s="41"/>
      <c r="CK68" s="41"/>
      <c r="CL68" s="41"/>
      <c r="CM68" s="41"/>
      <c r="CN68" s="41"/>
      <c r="CO68" s="41"/>
      <c r="CP68" s="41"/>
      <c r="CQ68" s="41"/>
      <c r="CS68" s="41"/>
      <c r="CT68" s="41"/>
      <c r="CU68" s="41"/>
      <c r="CV68" s="41"/>
      <c r="CW68" s="44"/>
      <c r="CX68" s="40"/>
      <c r="CY68" s="44"/>
      <c r="CZ68" s="44"/>
      <c r="DA68" s="44"/>
      <c r="DB68" s="44"/>
      <c r="DC68" s="44"/>
      <c r="DD68" s="40"/>
      <c r="DE68" s="40"/>
      <c r="DF68" s="44"/>
      <c r="DG68" s="40"/>
      <c r="DH68" s="40"/>
      <c r="DI68" s="40"/>
      <c r="DJ68" s="40"/>
      <c r="DK68" s="47"/>
      <c r="DL68" s="47"/>
      <c r="DM68" s="47"/>
      <c r="DN68" s="47"/>
      <c r="DO68" s="47"/>
      <c r="DP68" s="47"/>
      <c r="DQ68" s="47"/>
      <c r="DR68" s="47"/>
      <c r="DS68" s="47"/>
      <c r="DT68" s="47"/>
      <c r="DU68" s="47"/>
      <c r="DV68" s="47"/>
      <c r="DW68" s="47"/>
      <c r="DX68" s="47"/>
      <c r="DY68" s="47"/>
      <c r="DZ68" s="47"/>
      <c r="EA68" s="47"/>
      <c r="EB68" s="47"/>
      <c r="EC68" s="47"/>
      <c r="ED68" s="47"/>
      <c r="EE68" s="47"/>
      <c r="EF68" s="47"/>
      <c r="EG68" s="47"/>
      <c r="EH68" s="47"/>
      <c r="EI68" s="40"/>
      <c r="EJ68" s="40"/>
      <c r="EK68" s="40"/>
      <c r="EL68" s="40"/>
      <c r="EM68" s="40"/>
      <c r="EN68" s="40"/>
      <c r="EO68" s="40"/>
      <c r="EP68" s="40"/>
      <c r="EQ68" s="40"/>
      <c r="ER68" s="40"/>
      <c r="ES68" s="40"/>
      <c r="ET68" s="40"/>
      <c r="EU68" s="40"/>
      <c r="EV68" s="40"/>
      <c r="EW68" s="40"/>
      <c r="EX68" s="40"/>
      <c r="EY68" s="40"/>
      <c r="EZ68" s="40"/>
      <c r="FA68" s="40"/>
      <c r="FB68" s="40"/>
      <c r="FC68" s="40"/>
      <c r="FD68" s="40"/>
      <c r="FE68" s="40"/>
      <c r="FF68" s="40"/>
      <c r="FG68" s="40"/>
      <c r="FH68" s="40"/>
      <c r="FI68" s="40"/>
      <c r="FJ68" s="40"/>
      <c r="FK68" s="40"/>
      <c r="FL68" s="40"/>
      <c r="FM68" s="40"/>
      <c r="FN68" s="40"/>
      <c r="FO68" s="40"/>
      <c r="FP68" s="40"/>
      <c r="FQ68" s="40"/>
      <c r="FR68" s="40"/>
      <c r="FS68" s="40"/>
      <c r="FT68" s="40"/>
      <c r="FU68" s="40"/>
      <c r="FV68" s="40"/>
    </row>
    <row r="69" spans="4:178" s="34" customFormat="1" ht="15" customHeight="1">
      <c r="D69" s="37"/>
      <c r="E69" s="37"/>
      <c r="F69" s="37"/>
      <c r="G69" s="37"/>
      <c r="H69" s="37"/>
      <c r="I69" s="37"/>
      <c r="N69" s="40"/>
      <c r="O69" s="42" t="s">
        <v>189</v>
      </c>
      <c r="P69" s="40">
        <v>0</v>
      </c>
      <c r="Q69" s="40"/>
      <c r="R69" s="40"/>
      <c r="S69" s="43"/>
      <c r="T69" s="40"/>
      <c r="U69" s="40"/>
      <c r="V69" s="40"/>
      <c r="W69" s="40"/>
      <c r="X69" s="40"/>
      <c r="Y69" s="40">
        <f>MOD(V$4+OBSERVATIONS!$AO$13+I60,360)</f>
        <v>129.14836778111305</v>
      </c>
      <c r="Z69" s="40">
        <f t="shared" si="260"/>
        <v>129.14836778111305</v>
      </c>
      <c r="AA69" s="40">
        <f>J60</f>
        <v>-16.134122587519485</v>
      </c>
      <c r="AB69" s="40">
        <f t="shared" si="261"/>
        <v>1</v>
      </c>
      <c r="AC69" s="40">
        <f>ABS(TAN(RADIANS(ABS(OBSERVATIONS!$AO$12)))/TAN(RADIANS(ABS(Z69))))</f>
        <v>1.1877485317937249</v>
      </c>
      <c r="AD69" s="40">
        <f>IF(AB69=0,IF(OBSERVATIONS!$AY$35="N",-AC69,AC69),IF(OBSERVATIONS!$AY$35="N",AC69,-AC69))</f>
        <v>1.1877485317937249</v>
      </c>
      <c r="AE69" s="40">
        <f t="shared" si="262"/>
        <v>-0.37301782824784929</v>
      </c>
      <c r="AF69" s="40">
        <f t="shared" si="263"/>
        <v>0.81473070354587551</v>
      </c>
      <c r="AG69" s="40">
        <f>ABS(DEGREES(ATAN(1/(COS(RADIANS(ABS(OBSERVATIONS!$AO$12)))*AF69))))</f>
        <v>65.268787072188431</v>
      </c>
      <c r="AH69" s="40">
        <f t="shared" si="264"/>
        <v>294.73121292781155</v>
      </c>
      <c r="AI69" s="40">
        <f>AA69-OBSERVATIONS!$AO$12</f>
        <v>-71.707455920852823</v>
      </c>
      <c r="AJ69" s="44">
        <f>DEGREES(ASIN(SIN(RADIANS(OBSERVATIONS!$AO$12))*SIN(RADIANS(AA69))+COS(RADIANS(OBSERVATIONS!$AO$12))*COS(RADIANS(AA69))*COS(RADIANS(Y69))))</f>
        <v>-34.895442212771606</v>
      </c>
      <c r="AK69" s="44">
        <f t="shared" si="265"/>
        <v>-34.895442212771606</v>
      </c>
      <c r="AL69" s="37" t="s">
        <v>189</v>
      </c>
      <c r="AM69" s="44">
        <f t="shared" si="266"/>
        <v>294.73121292781155</v>
      </c>
      <c r="AN69" s="44">
        <f t="shared" si="267"/>
        <v>-34.895442212771606</v>
      </c>
      <c r="AO69" s="40"/>
      <c r="AP69" s="40"/>
      <c r="AQ69" s="44"/>
      <c r="AR69" s="44"/>
      <c r="AS69" s="40"/>
      <c r="AT69" s="44"/>
      <c r="AU69" s="44"/>
      <c r="AV69" s="44"/>
      <c r="AW69" s="44"/>
      <c r="AX69" s="44"/>
      <c r="AY69" s="44"/>
      <c r="AZ69" s="40"/>
      <c r="BA69" s="44"/>
      <c r="BB69" s="40"/>
      <c r="BC69" s="44"/>
      <c r="BE69" s="41"/>
      <c r="BK69" s="41"/>
      <c r="BM69" s="41"/>
      <c r="BO69" s="41"/>
      <c r="BP69" s="41"/>
      <c r="BQ69" s="41"/>
      <c r="BR69" s="41"/>
      <c r="BS69" s="41"/>
      <c r="BU69" s="41"/>
      <c r="BV69" s="41"/>
      <c r="BW69" s="41"/>
      <c r="BX69" s="41"/>
      <c r="CE69" s="41"/>
      <c r="CG69" s="41"/>
      <c r="CH69" s="41"/>
      <c r="CI69" s="41"/>
      <c r="CJ69" s="41"/>
      <c r="CK69" s="41"/>
      <c r="CL69" s="41"/>
      <c r="CM69" s="41"/>
      <c r="CN69" s="41"/>
      <c r="CO69" s="41"/>
      <c r="CP69" s="41"/>
      <c r="CQ69" s="41"/>
      <c r="CS69" s="41"/>
      <c r="CT69" s="41"/>
      <c r="CU69" s="41"/>
      <c r="CV69" s="41"/>
      <c r="CW69" s="44"/>
      <c r="CX69" s="40"/>
      <c r="CY69" s="44"/>
      <c r="CZ69" s="44"/>
      <c r="DA69" s="44"/>
      <c r="DB69" s="44"/>
      <c r="DC69" s="44"/>
      <c r="DD69" s="40"/>
      <c r="DE69" s="40"/>
      <c r="DF69" s="44"/>
      <c r="DG69" s="40"/>
      <c r="DH69" s="40"/>
      <c r="DI69" s="40"/>
      <c r="DJ69" s="40"/>
      <c r="DK69" s="47"/>
      <c r="DL69" s="47"/>
      <c r="DM69" s="47"/>
      <c r="DN69" s="47"/>
      <c r="DO69" s="47"/>
      <c r="DP69" s="47"/>
      <c r="DQ69" s="47"/>
      <c r="DR69" s="47"/>
      <c r="DS69" s="47"/>
      <c r="DT69" s="47"/>
      <c r="DU69" s="47"/>
      <c r="DV69" s="47"/>
      <c r="DW69" s="47"/>
      <c r="DX69" s="47"/>
      <c r="DY69" s="47"/>
      <c r="DZ69" s="47"/>
      <c r="EA69" s="47"/>
      <c r="EB69" s="47"/>
      <c r="EC69" s="47"/>
      <c r="ED69" s="47"/>
      <c r="EE69" s="47"/>
      <c r="EF69" s="47"/>
      <c r="EG69" s="47"/>
      <c r="EH69" s="47"/>
      <c r="EI69" s="40"/>
      <c r="EJ69" s="40"/>
      <c r="EK69" s="40"/>
      <c r="EL69" s="40"/>
      <c r="EM69" s="40"/>
      <c r="EN69" s="40"/>
      <c r="EO69" s="40"/>
      <c r="EP69" s="40"/>
      <c r="EQ69" s="40"/>
      <c r="ER69" s="40"/>
      <c r="ES69" s="40"/>
      <c r="ET69" s="40"/>
      <c r="EU69" s="40"/>
      <c r="EV69" s="40"/>
      <c r="EW69" s="40"/>
      <c r="EX69" s="40"/>
      <c r="EY69" s="40"/>
      <c r="EZ69" s="40"/>
      <c r="FA69" s="40"/>
      <c r="FB69" s="40"/>
      <c r="FC69" s="40"/>
      <c r="FD69" s="40"/>
      <c r="FE69" s="40"/>
      <c r="FF69" s="40"/>
      <c r="FG69" s="40"/>
      <c r="FH69" s="40"/>
      <c r="FI69" s="40"/>
      <c r="FJ69" s="40"/>
      <c r="FK69" s="40"/>
      <c r="FL69" s="40"/>
      <c r="FM69" s="40"/>
      <c r="FN69" s="40"/>
      <c r="FO69" s="40"/>
      <c r="FP69" s="40"/>
      <c r="FQ69" s="40"/>
      <c r="FR69" s="40"/>
      <c r="FS69" s="40"/>
      <c r="FT69" s="40"/>
      <c r="FU69" s="40"/>
      <c r="FV69" s="40"/>
    </row>
    <row r="70" spans="4:178" s="34" customFormat="1" ht="15" customHeight="1">
      <c r="D70" s="37"/>
      <c r="E70" s="37"/>
      <c r="F70" s="37"/>
      <c r="G70" s="37"/>
      <c r="H70" s="37"/>
      <c r="I70" s="37"/>
      <c r="N70" s="40"/>
      <c r="O70" s="42" t="s">
        <v>191</v>
      </c>
      <c r="P70" s="40"/>
      <c r="Q70" s="40">
        <f>V4</f>
        <v>345.36943462945482</v>
      </c>
      <c r="R70" s="40">
        <f>V5</f>
        <v>342.86259003309243</v>
      </c>
      <c r="S70" s="43">
        <f>V6</f>
        <v>357.90365761494775</v>
      </c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4"/>
      <c r="AR70" s="44"/>
      <c r="AS70" s="40"/>
      <c r="AT70" s="44"/>
      <c r="AU70" s="44"/>
      <c r="AV70" s="44"/>
      <c r="AW70" s="44"/>
      <c r="AX70" s="44"/>
      <c r="AY70" s="44"/>
      <c r="AZ70" s="40"/>
      <c r="BA70" s="44"/>
      <c r="BB70" s="40"/>
      <c r="BC70" s="44"/>
      <c r="BE70" s="41"/>
      <c r="BK70" s="41"/>
      <c r="BM70" s="41"/>
      <c r="BO70" s="41"/>
      <c r="BP70" s="41"/>
      <c r="BQ70" s="41"/>
      <c r="BR70" s="41"/>
      <c r="BS70" s="41"/>
      <c r="BU70" s="41"/>
      <c r="BV70" s="41"/>
      <c r="BW70" s="41"/>
      <c r="BX70" s="41"/>
      <c r="CE70" s="41"/>
      <c r="CG70" s="41"/>
      <c r="CH70" s="41"/>
      <c r="CI70" s="41"/>
      <c r="CJ70" s="41"/>
      <c r="CK70" s="41"/>
      <c r="CL70" s="41"/>
      <c r="CM70" s="41"/>
      <c r="CN70" s="41"/>
      <c r="CO70" s="41"/>
      <c r="CP70" s="41"/>
      <c r="CQ70" s="41"/>
      <c r="CS70" s="41"/>
      <c r="CT70" s="41"/>
      <c r="CU70" s="41"/>
      <c r="CV70" s="41"/>
      <c r="CW70" s="44"/>
      <c r="CX70" s="40"/>
      <c r="CY70" s="44"/>
      <c r="CZ70" s="44"/>
      <c r="DA70" s="44"/>
      <c r="DB70" s="44"/>
      <c r="DC70" s="44"/>
      <c r="DD70" s="40"/>
      <c r="DE70" s="40"/>
      <c r="DF70" s="44"/>
      <c r="DG70" s="40"/>
      <c r="DH70" s="40"/>
      <c r="DI70" s="40"/>
      <c r="DJ70" s="40"/>
      <c r="DK70" s="47"/>
      <c r="DL70" s="47"/>
      <c r="DM70" s="47"/>
      <c r="DN70" s="47"/>
      <c r="DO70" s="47"/>
      <c r="DP70" s="47"/>
      <c r="DQ70" s="47"/>
      <c r="DR70" s="47"/>
      <c r="DS70" s="47"/>
      <c r="DT70" s="47"/>
      <c r="DU70" s="47"/>
      <c r="DV70" s="47"/>
      <c r="DW70" s="47"/>
      <c r="DX70" s="47"/>
      <c r="DY70" s="47"/>
      <c r="DZ70" s="47"/>
      <c r="EA70" s="47"/>
      <c r="EB70" s="47"/>
      <c r="EC70" s="47"/>
      <c r="ED70" s="47"/>
      <c r="EE70" s="47"/>
      <c r="EF70" s="47"/>
      <c r="EG70" s="47"/>
      <c r="EH70" s="47"/>
      <c r="EI70" s="40"/>
      <c r="EJ70" s="40"/>
      <c r="EK70" s="40"/>
      <c r="EL70" s="40"/>
      <c r="EM70" s="40"/>
      <c r="EN70" s="40"/>
      <c r="EO70" s="40"/>
      <c r="EP70" s="40"/>
      <c r="EQ70" s="40"/>
      <c r="ER70" s="40"/>
      <c r="ES70" s="40"/>
      <c r="ET70" s="40"/>
      <c r="EU70" s="40"/>
      <c r="EV70" s="40"/>
      <c r="EW70" s="40"/>
      <c r="EX70" s="40"/>
      <c r="EY70" s="40"/>
      <c r="EZ70" s="40"/>
      <c r="FA70" s="40"/>
      <c r="FB70" s="40"/>
      <c r="FC70" s="40"/>
      <c r="FD70" s="40"/>
      <c r="FE70" s="40"/>
      <c r="FF70" s="40"/>
      <c r="FG70" s="40"/>
      <c r="FH70" s="40"/>
      <c r="FI70" s="40"/>
      <c r="FJ70" s="40"/>
      <c r="FK70" s="40"/>
      <c r="FL70" s="40"/>
      <c r="FM70" s="40"/>
      <c r="FN70" s="40"/>
      <c r="FO70" s="40"/>
      <c r="FP70" s="40"/>
      <c r="FQ70" s="40"/>
      <c r="FR70" s="40"/>
      <c r="FS70" s="40"/>
      <c r="FT70" s="40"/>
      <c r="FU70" s="40"/>
      <c r="FV70" s="40"/>
    </row>
    <row r="71" spans="4:178" s="34" customFormat="1" ht="15" customHeight="1">
      <c r="D71" s="37"/>
      <c r="E71" s="37"/>
      <c r="F71" s="37"/>
      <c r="G71" s="37"/>
      <c r="H71" s="37"/>
      <c r="I71" s="37"/>
      <c r="N71" s="40"/>
      <c r="O71" s="40"/>
      <c r="P71" s="40"/>
      <c r="Q71" s="40"/>
      <c r="R71" s="40"/>
      <c r="S71" s="43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4"/>
      <c r="AR71" s="44"/>
      <c r="AS71" s="40"/>
      <c r="AT71" s="44"/>
      <c r="AU71" s="44"/>
      <c r="AV71" s="44"/>
      <c r="AW71" s="44"/>
      <c r="AX71" s="44"/>
      <c r="AY71" s="44"/>
      <c r="AZ71" s="40"/>
      <c r="BA71" s="44"/>
      <c r="BB71" s="40"/>
      <c r="BC71" s="44"/>
      <c r="BE71" s="41"/>
      <c r="BK71" s="41"/>
      <c r="BM71" s="41"/>
      <c r="BO71" s="41"/>
      <c r="BP71" s="41"/>
      <c r="BQ71" s="41"/>
      <c r="BR71" s="41"/>
      <c r="BS71" s="41"/>
      <c r="BU71" s="41"/>
      <c r="BV71" s="41"/>
      <c r="BW71" s="41"/>
      <c r="BX71" s="41"/>
      <c r="CE71" s="41"/>
      <c r="CG71" s="41"/>
      <c r="CH71" s="41"/>
      <c r="CI71" s="41"/>
      <c r="CJ71" s="41"/>
      <c r="CK71" s="41"/>
      <c r="CL71" s="41"/>
      <c r="CM71" s="41"/>
      <c r="CN71" s="41"/>
      <c r="CO71" s="41"/>
      <c r="CP71" s="41"/>
      <c r="CQ71" s="41"/>
      <c r="CS71" s="41"/>
      <c r="CT71" s="41"/>
      <c r="CU71" s="41"/>
      <c r="CV71" s="41"/>
      <c r="CW71" s="44"/>
      <c r="CX71" s="40"/>
      <c r="CY71" s="44"/>
      <c r="CZ71" s="44"/>
      <c r="DA71" s="44"/>
      <c r="DB71" s="44"/>
      <c r="DC71" s="44"/>
      <c r="DD71" s="40"/>
      <c r="DE71" s="40"/>
      <c r="DF71" s="44"/>
      <c r="DG71" s="40"/>
      <c r="DH71" s="40"/>
      <c r="DI71" s="40"/>
      <c r="DJ71" s="40"/>
      <c r="DK71" s="47"/>
      <c r="DL71" s="47"/>
      <c r="DM71" s="47"/>
      <c r="DN71" s="47"/>
      <c r="DO71" s="47"/>
      <c r="DP71" s="47"/>
      <c r="DQ71" s="47"/>
      <c r="DR71" s="47"/>
      <c r="DS71" s="47"/>
      <c r="DT71" s="47"/>
      <c r="DU71" s="47"/>
      <c r="DV71" s="47"/>
      <c r="DW71" s="47"/>
      <c r="DX71" s="47"/>
      <c r="DY71" s="47"/>
      <c r="DZ71" s="47"/>
      <c r="EA71" s="47"/>
      <c r="EB71" s="47"/>
      <c r="EC71" s="47"/>
      <c r="ED71" s="47"/>
      <c r="EE71" s="47"/>
      <c r="EF71" s="47"/>
      <c r="EG71" s="47"/>
      <c r="EH71" s="47"/>
      <c r="EI71" s="40"/>
      <c r="EJ71" s="40"/>
      <c r="EK71" s="40"/>
      <c r="EL71" s="40"/>
      <c r="EM71" s="40"/>
      <c r="EN71" s="40"/>
      <c r="EO71" s="40"/>
      <c r="EP71" s="40"/>
      <c r="EQ71" s="40"/>
      <c r="ER71" s="40"/>
      <c r="ES71" s="40"/>
      <c r="ET71" s="40"/>
      <c r="EU71" s="40"/>
      <c r="EV71" s="40"/>
      <c r="EW71" s="40"/>
      <c r="EX71" s="40"/>
      <c r="EY71" s="40"/>
      <c r="EZ71" s="40"/>
      <c r="FA71" s="40"/>
      <c r="FB71" s="40"/>
      <c r="FC71" s="40"/>
      <c r="FD71" s="40"/>
      <c r="FE71" s="40"/>
      <c r="FF71" s="40"/>
      <c r="FG71" s="40"/>
      <c r="FH71" s="40"/>
      <c r="FI71" s="40"/>
      <c r="FJ71" s="40"/>
      <c r="FK71" s="40"/>
      <c r="FL71" s="40"/>
      <c r="FM71" s="40"/>
      <c r="FN71" s="40"/>
      <c r="FO71" s="40"/>
      <c r="FP71" s="40"/>
      <c r="FQ71" s="40"/>
      <c r="FR71" s="40"/>
      <c r="FS71" s="40"/>
      <c r="FT71" s="40"/>
      <c r="FU71" s="40"/>
      <c r="FV71" s="40"/>
    </row>
    <row r="72" spans="4:178" s="34" customFormat="1" ht="15" customHeight="1">
      <c r="D72" s="37"/>
      <c r="E72" s="37"/>
      <c r="F72" s="37"/>
      <c r="G72" s="37"/>
      <c r="H72" s="37"/>
      <c r="I72" s="37"/>
      <c r="N72" s="40"/>
      <c r="O72" s="40"/>
      <c r="P72" s="40"/>
      <c r="Q72" s="40"/>
      <c r="R72" s="40"/>
      <c r="S72" s="43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4"/>
      <c r="AR72" s="44"/>
      <c r="AS72" s="40"/>
      <c r="AT72" s="44"/>
      <c r="AU72" s="44"/>
      <c r="AV72" s="44"/>
      <c r="AW72" s="44"/>
      <c r="AX72" s="44"/>
      <c r="AY72" s="44"/>
      <c r="AZ72" s="40"/>
      <c r="BA72" s="44"/>
      <c r="BB72" s="40"/>
      <c r="BC72" s="44"/>
      <c r="BE72" s="41"/>
      <c r="BK72" s="41"/>
      <c r="BM72" s="41"/>
      <c r="BO72" s="41"/>
      <c r="BP72" s="41"/>
      <c r="BQ72" s="41"/>
      <c r="BR72" s="41"/>
      <c r="BS72" s="41"/>
      <c r="BU72" s="41"/>
      <c r="BV72" s="41"/>
      <c r="BW72" s="41"/>
      <c r="BX72" s="41"/>
      <c r="CE72" s="41"/>
      <c r="CG72" s="41"/>
      <c r="CH72" s="41"/>
      <c r="CI72" s="41"/>
      <c r="CJ72" s="41"/>
      <c r="CK72" s="41"/>
      <c r="CL72" s="41"/>
      <c r="CM72" s="41"/>
      <c r="CN72" s="41"/>
      <c r="CO72" s="41"/>
      <c r="CP72" s="41"/>
      <c r="CQ72" s="41"/>
      <c r="CS72" s="41"/>
      <c r="CT72" s="41"/>
      <c r="CU72" s="41"/>
      <c r="CV72" s="41"/>
      <c r="CW72" s="44"/>
      <c r="CX72" s="40"/>
      <c r="CY72" s="44"/>
      <c r="CZ72" s="44"/>
      <c r="DA72" s="44"/>
      <c r="DB72" s="44"/>
      <c r="DC72" s="44"/>
      <c r="DD72" s="40"/>
      <c r="DE72" s="40"/>
      <c r="DF72" s="44"/>
      <c r="DG72" s="40"/>
      <c r="DH72" s="40"/>
      <c r="DI72" s="40"/>
      <c r="DJ72" s="40"/>
      <c r="DK72" s="47"/>
      <c r="DL72" s="47"/>
      <c r="DM72" s="47"/>
      <c r="DN72" s="47"/>
      <c r="DO72" s="47"/>
      <c r="DP72" s="47"/>
      <c r="DQ72" s="47"/>
      <c r="DR72" s="47"/>
      <c r="DS72" s="47"/>
      <c r="DT72" s="47"/>
      <c r="DU72" s="47"/>
      <c r="DV72" s="47"/>
      <c r="DW72" s="47"/>
      <c r="DX72" s="47"/>
      <c r="DY72" s="47"/>
      <c r="DZ72" s="47"/>
      <c r="EA72" s="47"/>
      <c r="EB72" s="47"/>
      <c r="EC72" s="47"/>
      <c r="ED72" s="47"/>
      <c r="EE72" s="47"/>
      <c r="EF72" s="47"/>
      <c r="EG72" s="47"/>
      <c r="EH72" s="47"/>
      <c r="EI72" s="40"/>
      <c r="EJ72" s="40"/>
      <c r="EK72" s="40"/>
      <c r="EL72" s="40"/>
      <c r="EM72" s="40"/>
      <c r="EN72" s="40"/>
      <c r="EO72" s="40"/>
      <c r="EP72" s="40"/>
      <c r="EQ72" s="40"/>
      <c r="ER72" s="40"/>
      <c r="ES72" s="40"/>
      <c r="ET72" s="40"/>
      <c r="EU72" s="40"/>
      <c r="EV72" s="40"/>
      <c r="EW72" s="40"/>
      <c r="EX72" s="40"/>
      <c r="EY72" s="40"/>
      <c r="EZ72" s="40"/>
      <c r="FA72" s="40"/>
      <c r="FB72" s="40"/>
      <c r="FC72" s="40"/>
      <c r="FD72" s="40"/>
      <c r="FE72" s="40"/>
      <c r="FF72" s="40"/>
      <c r="FG72" s="40"/>
      <c r="FH72" s="40"/>
      <c r="FI72" s="40"/>
      <c r="FJ72" s="40"/>
      <c r="FK72" s="40"/>
      <c r="FL72" s="40"/>
      <c r="FM72" s="40"/>
      <c r="FN72" s="40"/>
      <c r="FO72" s="40"/>
      <c r="FP72" s="40"/>
      <c r="FQ72" s="40"/>
      <c r="FR72" s="40"/>
      <c r="FS72" s="40"/>
      <c r="FT72" s="40"/>
      <c r="FU72" s="40"/>
      <c r="FV72" s="40"/>
    </row>
    <row r="73" spans="4:178" s="34" customFormat="1" ht="15" customHeight="1">
      <c r="D73" s="37"/>
      <c r="E73" s="37"/>
      <c r="F73" s="37"/>
      <c r="G73" s="37"/>
      <c r="H73" s="37"/>
      <c r="I73" s="37"/>
      <c r="S73" s="39"/>
      <c r="V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4"/>
      <c r="AR73" s="44"/>
      <c r="AS73" s="40"/>
      <c r="AT73" s="44"/>
      <c r="AU73" s="44"/>
      <c r="AV73" s="44"/>
      <c r="AW73" s="44"/>
      <c r="AX73" s="44"/>
      <c r="AY73" s="44"/>
      <c r="AZ73" s="40"/>
      <c r="BA73" s="44"/>
      <c r="BB73" s="40"/>
      <c r="BC73" s="44"/>
      <c r="BE73" s="41"/>
      <c r="BK73" s="41"/>
      <c r="BM73" s="41"/>
      <c r="BO73" s="41"/>
      <c r="BP73" s="41"/>
      <c r="BQ73" s="41"/>
      <c r="BR73" s="41"/>
      <c r="BS73" s="41"/>
      <c r="BU73" s="41"/>
      <c r="BV73" s="41"/>
      <c r="BW73" s="41"/>
      <c r="BX73" s="41"/>
      <c r="CE73" s="41"/>
      <c r="CG73" s="41"/>
      <c r="CH73" s="41"/>
      <c r="CI73" s="41"/>
      <c r="CJ73" s="41"/>
      <c r="CK73" s="41"/>
      <c r="CL73" s="41"/>
      <c r="CM73" s="41"/>
      <c r="CN73" s="41"/>
      <c r="CO73" s="41"/>
      <c r="CP73" s="41"/>
      <c r="CQ73" s="41"/>
      <c r="CS73" s="41"/>
      <c r="CT73" s="41"/>
      <c r="CU73" s="41"/>
      <c r="CV73" s="41"/>
      <c r="CW73" s="44"/>
      <c r="CX73" s="40"/>
      <c r="CY73" s="44"/>
      <c r="CZ73" s="44"/>
      <c r="DA73" s="44"/>
      <c r="DB73" s="44"/>
      <c r="DC73" s="44"/>
      <c r="DD73" s="40"/>
      <c r="DE73" s="40"/>
      <c r="DF73" s="44"/>
      <c r="DG73" s="40"/>
      <c r="DH73" s="40"/>
      <c r="DI73" s="40"/>
      <c r="DJ73" s="40"/>
      <c r="DK73" s="47"/>
      <c r="DL73" s="47"/>
      <c r="DM73" s="47"/>
      <c r="DN73" s="47"/>
      <c r="DO73" s="47"/>
      <c r="DP73" s="47"/>
      <c r="DQ73" s="47"/>
      <c r="DR73" s="47"/>
      <c r="DS73" s="47"/>
      <c r="DT73" s="47"/>
      <c r="DU73" s="47"/>
      <c r="DV73" s="47"/>
      <c r="DW73" s="47"/>
      <c r="DX73" s="47"/>
      <c r="DY73" s="47"/>
      <c r="DZ73" s="47"/>
      <c r="EA73" s="47"/>
      <c r="EB73" s="47"/>
      <c r="EC73" s="47"/>
      <c r="ED73" s="47"/>
      <c r="EE73" s="47"/>
      <c r="EF73" s="47"/>
      <c r="EG73" s="47"/>
      <c r="EH73" s="47"/>
      <c r="EI73" s="40"/>
      <c r="EJ73" s="40"/>
      <c r="EK73" s="40"/>
      <c r="EL73" s="40"/>
      <c r="EM73" s="40"/>
      <c r="EN73" s="40"/>
      <c r="EO73" s="40"/>
      <c r="EP73" s="40"/>
      <c r="EQ73" s="40"/>
      <c r="ER73" s="40"/>
      <c r="ES73" s="40"/>
      <c r="ET73" s="40"/>
      <c r="EU73" s="40"/>
      <c r="EV73" s="40"/>
      <c r="EW73" s="40"/>
      <c r="EX73" s="40"/>
      <c r="EY73" s="40"/>
      <c r="EZ73" s="40"/>
      <c r="FA73" s="40"/>
      <c r="FB73" s="40"/>
      <c r="FC73" s="40"/>
      <c r="FD73" s="40"/>
      <c r="FE73" s="40"/>
      <c r="FF73" s="40"/>
      <c r="FG73" s="40"/>
      <c r="FH73" s="40"/>
      <c r="FI73" s="40"/>
      <c r="FJ73" s="40"/>
      <c r="FK73" s="40"/>
      <c r="FL73" s="40"/>
      <c r="FM73" s="40"/>
      <c r="FN73" s="40"/>
      <c r="FO73" s="40"/>
      <c r="FP73" s="40"/>
      <c r="FQ73" s="40"/>
      <c r="FR73" s="40"/>
      <c r="FS73" s="40"/>
      <c r="FT73" s="40"/>
      <c r="FU73" s="40"/>
      <c r="FV73" s="40"/>
    </row>
    <row r="74" spans="4:178" s="34" customFormat="1" ht="15" customHeight="1">
      <c r="D74" s="37"/>
      <c r="E74" s="37"/>
      <c r="F74" s="37"/>
      <c r="G74" s="37"/>
      <c r="H74" s="37"/>
      <c r="I74" s="37"/>
      <c r="S74" s="39"/>
      <c r="V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4"/>
      <c r="AR74" s="44"/>
      <c r="AS74" s="40"/>
      <c r="AT74" s="44"/>
      <c r="AU74" s="44"/>
      <c r="AV74" s="44"/>
      <c r="AW74" s="44"/>
      <c r="AX74" s="44"/>
      <c r="AY74" s="44"/>
      <c r="AZ74" s="40"/>
      <c r="BA74" s="44"/>
      <c r="BB74" s="40"/>
      <c r="BC74" s="44"/>
      <c r="BE74" s="41"/>
      <c r="BK74" s="41"/>
      <c r="BM74" s="41"/>
      <c r="BO74" s="41"/>
      <c r="BP74" s="41"/>
      <c r="BQ74" s="41"/>
      <c r="BR74" s="41"/>
      <c r="BS74" s="41"/>
      <c r="BU74" s="41"/>
      <c r="BV74" s="41"/>
      <c r="BW74" s="41"/>
      <c r="BX74" s="41"/>
      <c r="CE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S74" s="41"/>
      <c r="CT74" s="41"/>
      <c r="CU74" s="41"/>
      <c r="CV74" s="41"/>
      <c r="CW74" s="44"/>
      <c r="CX74" s="40"/>
      <c r="CY74" s="44"/>
      <c r="CZ74" s="44"/>
      <c r="DA74" s="44"/>
      <c r="DB74" s="44"/>
      <c r="DC74" s="44"/>
      <c r="DD74" s="40"/>
      <c r="DE74" s="40"/>
      <c r="DF74" s="44"/>
      <c r="DG74" s="40"/>
      <c r="DH74" s="40"/>
      <c r="DI74" s="40"/>
      <c r="DJ74" s="40"/>
      <c r="DK74" s="47"/>
      <c r="DL74" s="47"/>
      <c r="DM74" s="47"/>
      <c r="DN74" s="47"/>
      <c r="DO74" s="47"/>
      <c r="DP74" s="47"/>
      <c r="DQ74" s="47"/>
      <c r="DR74" s="47"/>
      <c r="DS74" s="47"/>
      <c r="DT74" s="47"/>
      <c r="DU74" s="47"/>
      <c r="DV74" s="47"/>
      <c r="DW74" s="47"/>
      <c r="DX74" s="47"/>
      <c r="DY74" s="47"/>
      <c r="DZ74" s="47"/>
      <c r="EA74" s="47"/>
      <c r="EB74" s="47"/>
      <c r="EC74" s="47"/>
      <c r="ED74" s="47"/>
      <c r="EE74" s="47"/>
      <c r="EF74" s="47"/>
      <c r="EG74" s="47"/>
      <c r="EH74" s="47"/>
      <c r="EI74" s="40"/>
      <c r="EJ74" s="40"/>
      <c r="EK74" s="40"/>
      <c r="EL74" s="40"/>
      <c r="EM74" s="40"/>
      <c r="EN74" s="40"/>
      <c r="EO74" s="40"/>
      <c r="EP74" s="40"/>
      <c r="EQ74" s="40"/>
      <c r="ER74" s="40"/>
      <c r="ES74" s="40"/>
      <c r="ET74" s="40"/>
      <c r="EU74" s="40"/>
      <c r="EV74" s="40"/>
      <c r="EW74" s="40"/>
      <c r="EX74" s="40"/>
      <c r="EY74" s="40"/>
      <c r="EZ74" s="40"/>
      <c r="FA74" s="40"/>
      <c r="FB74" s="40"/>
      <c r="FC74" s="40"/>
      <c r="FD74" s="40"/>
      <c r="FE74" s="40"/>
      <c r="FF74" s="40"/>
      <c r="FG74" s="40"/>
      <c r="FH74" s="40"/>
      <c r="FI74" s="40"/>
      <c r="FJ74" s="40"/>
      <c r="FK74" s="40"/>
      <c r="FL74" s="40"/>
      <c r="FM74" s="40"/>
      <c r="FN74" s="40"/>
      <c r="FO74" s="40"/>
      <c r="FP74" s="40"/>
      <c r="FQ74" s="40"/>
      <c r="FR74" s="40"/>
      <c r="FS74" s="40"/>
      <c r="FT74" s="40"/>
      <c r="FU74" s="40"/>
      <c r="FV74" s="40"/>
    </row>
    <row r="75" spans="4:178" s="34" customFormat="1" ht="12.2" customHeight="1">
      <c r="D75" s="37"/>
      <c r="E75" s="37"/>
      <c r="F75" s="37"/>
      <c r="G75" s="37"/>
      <c r="H75" s="37"/>
      <c r="I75" s="37"/>
      <c r="S75" s="39"/>
      <c r="V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4"/>
      <c r="AR75" s="44"/>
      <c r="AS75" s="40"/>
      <c r="AT75" s="44"/>
      <c r="AU75" s="44"/>
      <c r="AV75" s="44"/>
      <c r="AW75" s="44"/>
      <c r="AX75" s="44"/>
      <c r="AY75" s="44"/>
      <c r="AZ75" s="40"/>
      <c r="BA75" s="44"/>
      <c r="BB75" s="40"/>
      <c r="BC75" s="44"/>
      <c r="BE75" s="41"/>
      <c r="BK75" s="41"/>
      <c r="BM75" s="41"/>
      <c r="BO75" s="41"/>
      <c r="BP75" s="41"/>
      <c r="BQ75" s="41"/>
      <c r="BR75" s="41"/>
      <c r="BS75" s="41"/>
      <c r="BU75" s="41"/>
      <c r="BV75" s="41"/>
      <c r="BW75" s="41"/>
      <c r="BX75" s="41"/>
      <c r="CE75" s="41"/>
      <c r="CG75" s="41"/>
      <c r="CH75" s="41"/>
      <c r="CI75" s="41"/>
      <c r="CJ75" s="41"/>
      <c r="CK75" s="41"/>
      <c r="CL75" s="41"/>
      <c r="CM75" s="41"/>
      <c r="CN75" s="41"/>
      <c r="CO75" s="41"/>
      <c r="CP75" s="41"/>
      <c r="CQ75" s="41"/>
      <c r="CS75" s="41"/>
      <c r="CT75" s="41"/>
      <c r="CU75" s="41"/>
      <c r="CV75" s="41"/>
      <c r="CW75" s="44"/>
      <c r="CX75" s="40"/>
      <c r="CY75" s="44"/>
      <c r="CZ75" s="44"/>
      <c r="DA75" s="44"/>
      <c r="DB75" s="44"/>
      <c r="DC75" s="44"/>
      <c r="DD75" s="40"/>
      <c r="DE75" s="40"/>
      <c r="DF75" s="44"/>
      <c r="DG75" s="40"/>
      <c r="DH75" s="40"/>
      <c r="DI75" s="40"/>
      <c r="DJ75" s="40"/>
      <c r="DK75" s="47"/>
      <c r="DL75" s="47"/>
      <c r="DM75" s="47"/>
      <c r="DN75" s="47"/>
      <c r="DO75" s="47"/>
      <c r="DP75" s="47"/>
      <c r="DQ75" s="47"/>
      <c r="DR75" s="47"/>
      <c r="DS75" s="47"/>
      <c r="DT75" s="47"/>
      <c r="DU75" s="47"/>
      <c r="DV75" s="47"/>
      <c r="DW75" s="47"/>
      <c r="DX75" s="47"/>
      <c r="DY75" s="47"/>
      <c r="DZ75" s="47"/>
      <c r="EA75" s="47"/>
      <c r="EB75" s="47"/>
      <c r="EC75" s="47"/>
      <c r="ED75" s="47"/>
      <c r="EE75" s="47"/>
      <c r="EF75" s="47"/>
      <c r="EG75" s="47"/>
      <c r="EH75" s="47"/>
      <c r="EI75" s="40"/>
      <c r="EJ75" s="40"/>
      <c r="EK75" s="40"/>
      <c r="EL75" s="40"/>
      <c r="EM75" s="40"/>
      <c r="EN75" s="40"/>
      <c r="EO75" s="40"/>
      <c r="EP75" s="40"/>
      <c r="EQ75" s="40"/>
      <c r="ER75" s="40"/>
      <c r="ES75" s="40"/>
      <c r="ET75" s="40"/>
      <c r="EU75" s="40"/>
      <c r="EV75" s="40"/>
      <c r="EW75" s="40"/>
      <c r="EX75" s="40"/>
      <c r="EY75" s="40"/>
      <c r="EZ75" s="40"/>
      <c r="FA75" s="40"/>
      <c r="FB75" s="40"/>
      <c r="FC75" s="40"/>
      <c r="FD75" s="40"/>
      <c r="FE75" s="40"/>
      <c r="FF75" s="40"/>
      <c r="FG75" s="40"/>
      <c r="FH75" s="40"/>
      <c r="FI75" s="40"/>
      <c r="FJ75" s="40"/>
      <c r="FK75" s="40"/>
      <c r="FL75" s="40"/>
      <c r="FM75" s="40"/>
      <c r="FN75" s="40"/>
      <c r="FO75" s="40"/>
      <c r="FP75" s="40"/>
      <c r="FQ75" s="40"/>
      <c r="FR75" s="40"/>
      <c r="FS75" s="40"/>
      <c r="FT75" s="40"/>
      <c r="FU75" s="40"/>
      <c r="FV75" s="40"/>
    </row>
    <row r="76" spans="4:178" s="34" customFormat="1" ht="12.2" customHeight="1">
      <c r="V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CW76" s="40"/>
      <c r="CX76" s="47"/>
      <c r="CY76" s="47"/>
      <c r="CZ76" s="47"/>
      <c r="DA76" s="47"/>
      <c r="DB76" s="47"/>
      <c r="DC76" s="47"/>
      <c r="DD76" s="47"/>
      <c r="DE76" s="47"/>
      <c r="DF76" s="47"/>
      <c r="DG76" s="47"/>
      <c r="DH76" s="47"/>
      <c r="DI76" s="47"/>
      <c r="DJ76" s="47"/>
      <c r="DK76" s="47"/>
      <c r="DL76" s="47"/>
      <c r="DM76" s="47"/>
      <c r="DN76" s="47"/>
      <c r="DO76" s="47"/>
      <c r="DP76" s="47"/>
      <c r="DQ76" s="47"/>
      <c r="DR76" s="47"/>
      <c r="DS76" s="47"/>
      <c r="DT76" s="47"/>
      <c r="DU76" s="47"/>
      <c r="DV76" s="47"/>
      <c r="DW76" s="47"/>
      <c r="DX76" s="47"/>
      <c r="DY76" s="47"/>
      <c r="DZ76" s="47"/>
      <c r="EA76" s="47"/>
      <c r="EB76" s="47"/>
      <c r="EC76" s="47"/>
      <c r="ED76" s="47"/>
      <c r="EE76" s="47"/>
      <c r="EF76" s="47"/>
      <c r="EG76" s="47"/>
      <c r="EH76" s="47"/>
      <c r="EI76" s="40"/>
      <c r="EJ76" s="40"/>
      <c r="EK76" s="40"/>
      <c r="EL76" s="40"/>
      <c r="EM76" s="40"/>
      <c r="EN76" s="40"/>
      <c r="EO76" s="40"/>
      <c r="EP76" s="40"/>
      <c r="EQ76" s="40"/>
      <c r="ER76" s="40"/>
      <c r="ES76" s="40"/>
      <c r="ET76" s="40"/>
      <c r="EU76" s="40"/>
      <c r="EV76" s="40"/>
      <c r="EW76" s="40"/>
      <c r="EX76" s="40"/>
      <c r="EY76" s="40"/>
      <c r="EZ76" s="40"/>
      <c r="FA76" s="40"/>
      <c r="FB76" s="40"/>
      <c r="FC76" s="40"/>
      <c r="FD76" s="40"/>
      <c r="FE76" s="40"/>
      <c r="FF76" s="40"/>
      <c r="FG76" s="40"/>
      <c r="FH76" s="40"/>
      <c r="FI76" s="40"/>
      <c r="FJ76" s="40"/>
      <c r="FK76" s="40"/>
      <c r="FL76" s="40"/>
      <c r="FM76" s="40"/>
      <c r="FN76" s="40"/>
      <c r="FO76" s="40"/>
      <c r="FP76" s="40"/>
      <c r="FQ76" s="40"/>
      <c r="FR76" s="40"/>
      <c r="FS76" s="40"/>
      <c r="FT76" s="40"/>
      <c r="FU76" s="40"/>
      <c r="FV76" s="40"/>
    </row>
    <row r="77" spans="4:178" s="34" customFormat="1" ht="12.2" customHeight="1">
      <c r="V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CW77" s="40"/>
      <c r="CX77" s="47"/>
      <c r="CY77" s="47"/>
      <c r="CZ77" s="47"/>
      <c r="DA77" s="47"/>
      <c r="DB77" s="47"/>
      <c r="DC77" s="47"/>
      <c r="DD77" s="47"/>
      <c r="DE77" s="47"/>
      <c r="DF77" s="47"/>
      <c r="DG77" s="47"/>
      <c r="DH77" s="47"/>
      <c r="DI77" s="47"/>
      <c r="DJ77" s="47"/>
      <c r="DK77" s="47"/>
      <c r="DL77" s="47"/>
      <c r="DM77" s="47"/>
      <c r="DN77" s="47"/>
      <c r="DO77" s="47"/>
      <c r="DP77" s="47"/>
      <c r="DQ77" s="47"/>
      <c r="DR77" s="47"/>
      <c r="DS77" s="47"/>
      <c r="DT77" s="47"/>
      <c r="DU77" s="47"/>
      <c r="DV77" s="47"/>
      <c r="DW77" s="47"/>
      <c r="DX77" s="47"/>
      <c r="DY77" s="47"/>
      <c r="DZ77" s="47"/>
      <c r="EA77" s="47"/>
      <c r="EB77" s="47"/>
      <c r="EC77" s="47"/>
      <c r="ED77" s="47"/>
      <c r="EE77" s="47"/>
      <c r="EF77" s="47"/>
      <c r="EG77" s="47"/>
      <c r="EH77" s="47"/>
      <c r="EI77" s="40"/>
      <c r="EJ77" s="40"/>
      <c r="EK77" s="40"/>
      <c r="EL77" s="40"/>
      <c r="EM77" s="40"/>
      <c r="EN77" s="40"/>
      <c r="EO77" s="40"/>
      <c r="EP77" s="40"/>
      <c r="EQ77" s="40"/>
      <c r="ER77" s="40"/>
      <c r="ES77" s="40"/>
      <c r="ET77" s="40"/>
      <c r="EU77" s="40"/>
      <c r="EV77" s="40"/>
      <c r="EW77" s="40"/>
      <c r="EX77" s="40"/>
      <c r="EY77" s="40"/>
      <c r="EZ77" s="40"/>
      <c r="FA77" s="40"/>
      <c r="FB77" s="40"/>
      <c r="FC77" s="40"/>
      <c r="FD77" s="40"/>
      <c r="FE77" s="40"/>
      <c r="FF77" s="40"/>
      <c r="FG77" s="40"/>
      <c r="FH77" s="40"/>
      <c r="FI77" s="40"/>
      <c r="FJ77" s="40"/>
      <c r="FK77" s="40"/>
      <c r="FL77" s="40"/>
      <c r="FM77" s="40"/>
      <c r="FN77" s="40"/>
      <c r="FO77" s="40"/>
      <c r="FP77" s="40"/>
      <c r="FQ77" s="40"/>
      <c r="FR77" s="40"/>
      <c r="FS77" s="40"/>
      <c r="FT77" s="40"/>
      <c r="FU77" s="40"/>
      <c r="FV77" s="40"/>
    </row>
    <row r="78" spans="4:178" s="34" customFormat="1" ht="12.2" customHeight="1">
      <c r="V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40"/>
      <c r="CW78" s="40"/>
      <c r="CX78" s="47"/>
      <c r="CY78" s="47"/>
      <c r="CZ78" s="47"/>
      <c r="DA78" s="47"/>
      <c r="DB78" s="47"/>
      <c r="DC78" s="47"/>
      <c r="DD78" s="47"/>
      <c r="DE78" s="47"/>
      <c r="DF78" s="47"/>
      <c r="DG78" s="47"/>
      <c r="DH78" s="47"/>
      <c r="DI78" s="47"/>
      <c r="DJ78" s="47"/>
      <c r="DK78" s="47"/>
      <c r="DL78" s="47"/>
      <c r="DM78" s="47"/>
      <c r="DN78" s="47"/>
      <c r="DO78" s="47"/>
      <c r="DP78" s="47"/>
      <c r="DQ78" s="47"/>
      <c r="DR78" s="47"/>
      <c r="DS78" s="47"/>
      <c r="DT78" s="47"/>
      <c r="DU78" s="47"/>
      <c r="DV78" s="47"/>
      <c r="DW78" s="47"/>
      <c r="DX78" s="47"/>
      <c r="DY78" s="47"/>
      <c r="DZ78" s="47"/>
      <c r="EA78" s="47"/>
      <c r="EB78" s="47"/>
      <c r="EC78" s="47"/>
      <c r="ED78" s="47"/>
      <c r="EE78" s="47"/>
      <c r="EF78" s="47"/>
      <c r="EG78" s="47"/>
      <c r="EH78" s="47"/>
      <c r="EI78" s="40"/>
      <c r="EJ78" s="40"/>
      <c r="EK78" s="40"/>
      <c r="EL78" s="40"/>
      <c r="EM78" s="40"/>
      <c r="EN78" s="40"/>
      <c r="EO78" s="40"/>
      <c r="EP78" s="40"/>
      <c r="EQ78" s="40"/>
      <c r="ER78" s="40"/>
      <c r="ES78" s="40"/>
      <c r="ET78" s="40"/>
      <c r="EU78" s="40"/>
      <c r="EV78" s="40"/>
      <c r="EW78" s="40"/>
      <c r="EX78" s="40"/>
      <c r="EY78" s="40"/>
      <c r="EZ78" s="40"/>
      <c r="FA78" s="40"/>
      <c r="FB78" s="40"/>
      <c r="FC78" s="40"/>
      <c r="FD78" s="40"/>
      <c r="FE78" s="40"/>
      <c r="FF78" s="40"/>
      <c r="FG78" s="40"/>
      <c r="FH78" s="40"/>
      <c r="FI78" s="40"/>
      <c r="FJ78" s="40"/>
      <c r="FK78" s="40"/>
      <c r="FL78" s="40"/>
      <c r="FM78" s="40"/>
      <c r="FN78" s="40"/>
      <c r="FO78" s="40"/>
      <c r="FP78" s="40"/>
      <c r="FQ78" s="40"/>
      <c r="FR78" s="40"/>
      <c r="FS78" s="40"/>
      <c r="FT78" s="40"/>
      <c r="FU78" s="40"/>
      <c r="FV78" s="40"/>
    </row>
    <row r="79" spans="4:178" s="34" customFormat="1">
      <c r="V79" s="40"/>
      <c r="CW79" s="40"/>
      <c r="CX79" s="47"/>
      <c r="CY79" s="47"/>
      <c r="CZ79" s="47"/>
      <c r="DA79" s="47"/>
      <c r="DB79" s="47"/>
      <c r="DC79" s="47"/>
      <c r="DD79" s="47"/>
      <c r="DE79" s="47"/>
      <c r="DF79" s="47"/>
      <c r="DG79" s="47"/>
      <c r="DH79" s="47"/>
      <c r="DI79" s="47"/>
      <c r="DJ79" s="47"/>
      <c r="DK79" s="47"/>
      <c r="DL79" s="47"/>
      <c r="DM79" s="47"/>
      <c r="DN79" s="47"/>
      <c r="DO79" s="47"/>
      <c r="DP79" s="47"/>
      <c r="DQ79" s="47"/>
      <c r="DR79" s="47"/>
      <c r="DS79" s="47"/>
      <c r="DT79" s="47"/>
      <c r="DU79" s="47"/>
      <c r="DV79" s="47"/>
      <c r="DW79" s="47"/>
      <c r="DX79" s="47"/>
      <c r="DY79" s="47"/>
      <c r="DZ79" s="47"/>
      <c r="EA79" s="47"/>
      <c r="EB79" s="47"/>
      <c r="EC79" s="47"/>
      <c r="ED79" s="47"/>
      <c r="EE79" s="47"/>
      <c r="EF79" s="47"/>
      <c r="EG79" s="47"/>
      <c r="EH79" s="47"/>
      <c r="EI79" s="40"/>
      <c r="EJ79" s="40"/>
      <c r="EK79" s="40"/>
      <c r="EL79" s="40"/>
      <c r="EM79" s="40"/>
      <c r="EN79" s="40"/>
      <c r="EO79" s="40"/>
      <c r="EP79" s="40"/>
      <c r="EQ79" s="40"/>
      <c r="ER79" s="40"/>
      <c r="ES79" s="40"/>
      <c r="ET79" s="40"/>
      <c r="EU79" s="40"/>
      <c r="EV79" s="40"/>
      <c r="EW79" s="40"/>
      <c r="EX79" s="40"/>
      <c r="EY79" s="40"/>
      <c r="EZ79" s="40"/>
      <c r="FA79" s="40"/>
      <c r="FB79" s="40"/>
      <c r="FC79" s="40"/>
      <c r="FD79" s="40"/>
      <c r="FE79" s="40"/>
      <c r="FF79" s="40"/>
      <c r="FG79" s="40"/>
      <c r="FH79" s="40"/>
      <c r="FI79" s="40"/>
      <c r="FJ79" s="40"/>
      <c r="FK79" s="40"/>
      <c r="FL79" s="40"/>
      <c r="FM79" s="40"/>
      <c r="FN79" s="40"/>
      <c r="FO79" s="40"/>
      <c r="FP79" s="40"/>
      <c r="FQ79" s="40"/>
      <c r="FR79" s="40"/>
      <c r="FS79" s="40"/>
      <c r="FT79" s="40"/>
      <c r="FU79" s="40"/>
      <c r="FV79" s="40"/>
    </row>
    <row r="80" spans="4:178" s="34" customFormat="1">
      <c r="V80" s="40"/>
      <c r="CX80" s="45"/>
      <c r="CY80" s="45"/>
      <c r="CZ80" s="45"/>
      <c r="DA80" s="45"/>
      <c r="DB80" s="45"/>
      <c r="DC80" s="45"/>
      <c r="DD80" s="45"/>
      <c r="DE80" s="45"/>
      <c r="DF80" s="45"/>
      <c r="DG80" s="45"/>
      <c r="DH80" s="45"/>
      <c r="DI80" s="45"/>
      <c r="DJ80" s="45"/>
      <c r="DK80" s="47"/>
      <c r="DL80" s="47"/>
      <c r="DM80" s="47"/>
      <c r="DN80" s="47"/>
      <c r="DO80" s="47"/>
      <c r="DP80" s="47"/>
      <c r="DQ80" s="47"/>
      <c r="DR80" s="47"/>
      <c r="DS80" s="47"/>
      <c r="DT80" s="47"/>
      <c r="DU80" s="47"/>
      <c r="DV80" s="47"/>
      <c r="DW80" s="47"/>
      <c r="DX80" s="47"/>
      <c r="DY80" s="47"/>
      <c r="DZ80" s="47"/>
      <c r="EA80" s="47"/>
      <c r="EB80" s="47"/>
      <c r="EC80" s="47"/>
      <c r="ED80" s="47"/>
      <c r="EE80" s="47"/>
      <c r="EF80" s="47"/>
      <c r="EG80" s="47"/>
      <c r="EH80" s="47"/>
      <c r="EI80" s="40"/>
      <c r="EJ80" s="40"/>
      <c r="EK80" s="40"/>
      <c r="EL80" s="40"/>
      <c r="EM80" s="40"/>
      <c r="EN80" s="40"/>
      <c r="EO80" s="40"/>
      <c r="EP80" s="40"/>
      <c r="EQ80" s="40"/>
      <c r="ER80" s="40"/>
      <c r="ES80" s="40"/>
      <c r="ET80" s="40"/>
      <c r="EU80" s="40"/>
      <c r="EV80" s="40"/>
      <c r="EW80" s="40"/>
      <c r="EX80" s="40"/>
      <c r="EY80" s="40"/>
      <c r="EZ80" s="40"/>
      <c r="FA80" s="40"/>
      <c r="FB80" s="40"/>
      <c r="FC80" s="40"/>
      <c r="FD80" s="40"/>
      <c r="FE80" s="40"/>
      <c r="FF80" s="40"/>
      <c r="FG80" s="40"/>
      <c r="FH80" s="40"/>
      <c r="FI80" s="40"/>
      <c r="FJ80" s="40"/>
      <c r="FK80" s="40"/>
      <c r="FL80" s="40"/>
      <c r="FM80" s="40"/>
      <c r="FN80" s="40"/>
      <c r="FO80" s="40"/>
      <c r="FP80" s="40"/>
      <c r="FQ80" s="40"/>
      <c r="FR80" s="40"/>
      <c r="FS80" s="40"/>
      <c r="FT80" s="40"/>
      <c r="FU80" s="40"/>
      <c r="FV80" s="40"/>
    </row>
    <row r="81" spans="22:178" s="34" customFormat="1">
      <c r="V81" s="40"/>
      <c r="CX81" s="45"/>
      <c r="CY81" s="45"/>
      <c r="CZ81" s="45"/>
      <c r="DA81" s="45"/>
      <c r="DB81" s="45"/>
      <c r="DC81" s="45"/>
      <c r="DD81" s="45"/>
      <c r="DE81" s="45"/>
      <c r="DF81" s="45"/>
      <c r="DG81" s="45"/>
      <c r="DH81" s="45"/>
      <c r="DI81" s="45"/>
      <c r="DJ81" s="45"/>
      <c r="DK81" s="47"/>
      <c r="DL81" s="47"/>
      <c r="DM81" s="47"/>
      <c r="DN81" s="47"/>
      <c r="DO81" s="47"/>
      <c r="DP81" s="47"/>
      <c r="DQ81" s="47"/>
      <c r="DR81" s="47"/>
      <c r="DS81" s="47"/>
      <c r="DT81" s="47"/>
      <c r="DU81" s="47"/>
      <c r="DV81" s="47"/>
      <c r="DW81" s="47"/>
      <c r="DX81" s="47"/>
      <c r="DY81" s="47"/>
      <c r="DZ81" s="47"/>
      <c r="EA81" s="47"/>
      <c r="EB81" s="47"/>
      <c r="EC81" s="47"/>
      <c r="ED81" s="47"/>
      <c r="EE81" s="47"/>
      <c r="EF81" s="47"/>
      <c r="EG81" s="47"/>
      <c r="EH81" s="47"/>
      <c r="EI81" s="40"/>
      <c r="EJ81" s="40"/>
      <c r="EK81" s="40"/>
      <c r="EL81" s="40"/>
      <c r="EM81" s="40"/>
      <c r="EN81" s="40"/>
      <c r="EO81" s="40"/>
      <c r="EP81" s="40"/>
      <c r="EQ81" s="40"/>
      <c r="ER81" s="40"/>
      <c r="ES81" s="40"/>
      <c r="ET81" s="40"/>
      <c r="EU81" s="40"/>
      <c r="EV81" s="40"/>
      <c r="EW81" s="40"/>
      <c r="EX81" s="40"/>
      <c r="EY81" s="40"/>
      <c r="EZ81" s="40"/>
      <c r="FA81" s="40"/>
      <c r="FB81" s="40"/>
      <c r="FC81" s="40"/>
      <c r="FD81" s="40"/>
      <c r="FE81" s="40"/>
      <c r="FF81" s="40"/>
      <c r="FG81" s="40"/>
      <c r="FH81" s="40"/>
      <c r="FI81" s="40"/>
      <c r="FJ81" s="40"/>
      <c r="FK81" s="40"/>
      <c r="FL81" s="40"/>
      <c r="FM81" s="40"/>
      <c r="FN81" s="40"/>
      <c r="FO81" s="40"/>
      <c r="FP81" s="40"/>
      <c r="FQ81" s="40"/>
      <c r="FR81" s="40"/>
      <c r="FS81" s="40"/>
      <c r="FT81" s="40"/>
      <c r="FU81" s="40"/>
      <c r="FV81" s="40"/>
    </row>
    <row r="82" spans="22:178" s="34" customFormat="1">
      <c r="V82" s="40"/>
      <c r="CX82" s="45"/>
      <c r="CY82" s="45"/>
      <c r="CZ82" s="45"/>
      <c r="DA82" s="45"/>
      <c r="DB82" s="45"/>
      <c r="DC82" s="45"/>
      <c r="DD82" s="45"/>
      <c r="DE82" s="45"/>
      <c r="DF82" s="45"/>
      <c r="DG82" s="45"/>
      <c r="DH82" s="45"/>
      <c r="DI82" s="45"/>
      <c r="DJ82" s="45"/>
      <c r="DK82" s="47"/>
      <c r="DL82" s="47"/>
      <c r="DM82" s="47"/>
      <c r="DN82" s="47"/>
      <c r="DO82" s="47"/>
      <c r="DP82" s="47"/>
      <c r="DQ82" s="47"/>
      <c r="DR82" s="47"/>
      <c r="DS82" s="47"/>
      <c r="DT82" s="47"/>
      <c r="DU82" s="47"/>
      <c r="DV82" s="47"/>
      <c r="DW82" s="47"/>
      <c r="DX82" s="47"/>
      <c r="DY82" s="47"/>
      <c r="DZ82" s="47"/>
      <c r="EA82" s="47"/>
      <c r="EB82" s="47"/>
      <c r="EC82" s="47"/>
      <c r="ED82" s="47"/>
      <c r="EE82" s="47"/>
      <c r="EF82" s="47"/>
      <c r="EG82" s="47"/>
      <c r="EH82" s="47"/>
      <c r="EI82" s="40"/>
      <c r="EJ82" s="40"/>
      <c r="EK82" s="40"/>
      <c r="EL82" s="40"/>
      <c r="EM82" s="40"/>
      <c r="EN82" s="40"/>
      <c r="EO82" s="40"/>
      <c r="EP82" s="40"/>
      <c r="EQ82" s="40"/>
      <c r="ER82" s="40"/>
      <c r="ES82" s="40"/>
      <c r="ET82" s="40"/>
      <c r="EU82" s="40"/>
      <c r="EV82" s="40"/>
      <c r="EW82" s="40"/>
      <c r="EX82" s="40"/>
      <c r="EY82" s="40"/>
      <c r="EZ82" s="40"/>
      <c r="FA82" s="40"/>
      <c r="FB82" s="40"/>
      <c r="FC82" s="40"/>
      <c r="FD82" s="40"/>
      <c r="FE82" s="40"/>
      <c r="FF82" s="40"/>
      <c r="FG82" s="40"/>
      <c r="FH82" s="40"/>
      <c r="FI82" s="40"/>
      <c r="FJ82" s="40"/>
      <c r="FK82" s="40"/>
      <c r="FL82" s="40"/>
      <c r="FM82" s="40"/>
      <c r="FN82" s="40"/>
      <c r="FO82" s="40"/>
      <c r="FP82" s="40"/>
      <c r="FQ82" s="40"/>
      <c r="FR82" s="40"/>
      <c r="FS82" s="40"/>
      <c r="FT82" s="40"/>
      <c r="FU82" s="40"/>
      <c r="FV82" s="40"/>
    </row>
    <row r="83" spans="22:178" s="34" customFormat="1">
      <c r="V83" s="40"/>
      <c r="CX83" s="45"/>
      <c r="CY83" s="45"/>
      <c r="CZ83" s="45"/>
      <c r="DA83" s="45"/>
      <c r="DB83" s="45"/>
      <c r="DC83" s="45"/>
      <c r="DD83" s="45"/>
      <c r="DE83" s="45"/>
      <c r="DF83" s="45"/>
      <c r="DG83" s="45"/>
      <c r="DH83" s="45"/>
      <c r="DI83" s="45"/>
      <c r="DJ83" s="45"/>
      <c r="DK83" s="47"/>
      <c r="DL83" s="47"/>
      <c r="DM83" s="47"/>
      <c r="DN83" s="47"/>
      <c r="DO83" s="47"/>
      <c r="DP83" s="47"/>
      <c r="DQ83" s="47"/>
      <c r="DR83" s="47"/>
      <c r="DS83" s="47"/>
      <c r="DT83" s="47"/>
      <c r="DU83" s="47"/>
      <c r="DV83" s="47"/>
      <c r="DW83" s="47"/>
      <c r="DX83" s="47"/>
      <c r="DY83" s="47"/>
      <c r="DZ83" s="47"/>
      <c r="EA83" s="47"/>
      <c r="EB83" s="47"/>
      <c r="EC83" s="47"/>
      <c r="ED83" s="47"/>
      <c r="EE83" s="47"/>
      <c r="EF83" s="47"/>
      <c r="EG83" s="47"/>
      <c r="EH83" s="47"/>
      <c r="EI83" s="40"/>
      <c r="EJ83" s="40"/>
      <c r="EK83" s="40"/>
      <c r="EL83" s="40"/>
      <c r="EM83" s="40"/>
      <c r="EN83" s="40"/>
      <c r="EO83" s="40"/>
      <c r="EP83" s="40"/>
      <c r="EQ83" s="40"/>
      <c r="ER83" s="40"/>
      <c r="ES83" s="40"/>
      <c r="ET83" s="40"/>
      <c r="EU83" s="40"/>
      <c r="EV83" s="40"/>
      <c r="EW83" s="40"/>
      <c r="EX83" s="40"/>
      <c r="EY83" s="40"/>
      <c r="EZ83" s="40"/>
      <c r="FA83" s="40"/>
      <c r="FB83" s="40"/>
      <c r="FC83" s="40"/>
      <c r="FD83" s="40"/>
      <c r="FE83" s="40"/>
      <c r="FF83" s="40"/>
      <c r="FG83" s="40"/>
      <c r="FH83" s="40"/>
      <c r="FI83" s="40"/>
      <c r="FJ83" s="40"/>
      <c r="FK83" s="40"/>
      <c r="FL83" s="40"/>
      <c r="FM83" s="40"/>
      <c r="FN83" s="40"/>
      <c r="FO83" s="40"/>
      <c r="FP83" s="40"/>
      <c r="FQ83" s="40"/>
      <c r="FR83" s="40"/>
      <c r="FS83" s="40"/>
      <c r="FT83" s="40"/>
      <c r="FU83" s="40"/>
      <c r="FV83" s="40"/>
    </row>
    <row r="84" spans="22:178" s="34" customFormat="1">
      <c r="V84" s="40"/>
      <c r="CX84" s="45"/>
      <c r="CY84" s="45"/>
      <c r="CZ84" s="45"/>
      <c r="DA84" s="45"/>
      <c r="DB84" s="45"/>
      <c r="DC84" s="45"/>
      <c r="DD84" s="45"/>
      <c r="DE84" s="45"/>
      <c r="DF84" s="45"/>
      <c r="DG84" s="45"/>
      <c r="DH84" s="45"/>
      <c r="DI84" s="45"/>
      <c r="DJ84" s="45"/>
      <c r="DK84" s="47"/>
      <c r="DL84" s="47"/>
      <c r="DM84" s="47"/>
      <c r="DN84" s="47"/>
      <c r="DO84" s="47"/>
      <c r="DP84" s="47"/>
      <c r="DQ84" s="47"/>
      <c r="DR84" s="47"/>
      <c r="DS84" s="47"/>
      <c r="DT84" s="47"/>
      <c r="DU84" s="47"/>
      <c r="DV84" s="47"/>
      <c r="DW84" s="47"/>
      <c r="DX84" s="47"/>
      <c r="DY84" s="47"/>
      <c r="DZ84" s="47"/>
      <c r="EA84" s="47"/>
      <c r="EB84" s="47"/>
      <c r="EC84" s="47"/>
      <c r="ED84" s="47"/>
      <c r="EE84" s="47"/>
      <c r="EF84" s="47"/>
      <c r="EG84" s="47"/>
      <c r="EH84" s="47"/>
      <c r="EI84" s="40"/>
      <c r="EJ84" s="40"/>
      <c r="EK84" s="40"/>
      <c r="EL84" s="40"/>
      <c r="EM84" s="40"/>
      <c r="EN84" s="40"/>
      <c r="EO84" s="40"/>
      <c r="EP84" s="40"/>
      <c r="EQ84" s="40"/>
      <c r="ER84" s="40"/>
      <c r="ES84" s="40"/>
      <c r="ET84" s="40"/>
      <c r="EU84" s="40"/>
      <c r="EV84" s="40"/>
      <c r="EW84" s="40"/>
      <c r="EX84" s="40"/>
      <c r="EY84" s="40"/>
      <c r="EZ84" s="40"/>
      <c r="FA84" s="40"/>
      <c r="FB84" s="40"/>
      <c r="FC84" s="40"/>
      <c r="FD84" s="40"/>
      <c r="FE84" s="40"/>
      <c r="FF84" s="40"/>
      <c r="FG84" s="40"/>
      <c r="FH84" s="40"/>
      <c r="FI84" s="40"/>
      <c r="FJ84" s="40"/>
      <c r="FK84" s="40"/>
      <c r="FL84" s="40"/>
      <c r="FM84" s="40"/>
      <c r="FN84" s="40"/>
      <c r="FO84" s="40"/>
      <c r="FP84" s="40"/>
      <c r="FQ84" s="40"/>
      <c r="FR84" s="40"/>
      <c r="FS84" s="40"/>
      <c r="FT84" s="40"/>
      <c r="FU84" s="40"/>
      <c r="FV84" s="40"/>
    </row>
    <row r="85" spans="22:178" s="34" customFormat="1">
      <c r="V85" s="40"/>
      <c r="CX85" s="45"/>
      <c r="CY85" s="45"/>
      <c r="CZ85" s="45"/>
      <c r="DA85" s="45"/>
      <c r="DB85" s="45"/>
      <c r="DC85" s="45"/>
      <c r="DD85" s="45"/>
      <c r="DE85" s="45"/>
      <c r="DF85" s="45"/>
      <c r="DG85" s="45"/>
      <c r="DH85" s="45"/>
      <c r="DI85" s="45"/>
      <c r="DJ85" s="45"/>
      <c r="DK85" s="47"/>
      <c r="DL85" s="47"/>
      <c r="DM85" s="47"/>
      <c r="DN85" s="47"/>
      <c r="DO85" s="47"/>
      <c r="DP85" s="47"/>
      <c r="DQ85" s="47"/>
      <c r="DR85" s="47"/>
      <c r="DS85" s="47"/>
      <c r="DT85" s="47"/>
      <c r="DU85" s="47"/>
      <c r="DV85" s="47"/>
      <c r="DW85" s="47"/>
      <c r="DX85" s="47"/>
      <c r="DY85" s="47"/>
      <c r="DZ85" s="47"/>
      <c r="EA85" s="47"/>
      <c r="EB85" s="47"/>
      <c r="EC85" s="47"/>
      <c r="ED85" s="47"/>
      <c r="EE85" s="47"/>
      <c r="EF85" s="47"/>
      <c r="EG85" s="47"/>
      <c r="EH85" s="47"/>
      <c r="EI85" s="40"/>
      <c r="EJ85" s="40"/>
      <c r="EK85" s="40"/>
      <c r="EL85" s="40"/>
      <c r="EM85" s="40"/>
      <c r="EN85" s="40"/>
      <c r="EO85" s="40"/>
      <c r="EP85" s="40"/>
      <c r="EQ85" s="40"/>
      <c r="ER85" s="40"/>
      <c r="ES85" s="40"/>
      <c r="ET85" s="40"/>
      <c r="EU85" s="40"/>
      <c r="EV85" s="40"/>
      <c r="EW85" s="40"/>
      <c r="EX85" s="40"/>
      <c r="EY85" s="40"/>
      <c r="EZ85" s="40"/>
      <c r="FA85" s="40"/>
      <c r="FB85" s="40"/>
      <c r="FC85" s="40"/>
      <c r="FD85" s="40"/>
      <c r="FE85" s="40"/>
      <c r="FF85" s="40"/>
      <c r="FG85" s="40"/>
      <c r="FH85" s="40"/>
      <c r="FI85" s="40"/>
      <c r="FJ85" s="40"/>
      <c r="FK85" s="40"/>
      <c r="FL85" s="40"/>
      <c r="FM85" s="40"/>
      <c r="FN85" s="40"/>
      <c r="FO85" s="40"/>
      <c r="FP85" s="40"/>
      <c r="FQ85" s="40"/>
      <c r="FR85" s="40"/>
      <c r="FS85" s="40"/>
      <c r="FT85" s="40"/>
      <c r="FU85" s="40"/>
      <c r="FV85" s="40"/>
    </row>
    <row r="86" spans="22:178" s="34" customFormat="1">
      <c r="V86" s="40"/>
      <c r="CX86" s="45"/>
      <c r="CY86" s="45"/>
      <c r="CZ86" s="45"/>
      <c r="DA86" s="45"/>
      <c r="DB86" s="45"/>
      <c r="DC86" s="45"/>
      <c r="DD86" s="45"/>
      <c r="DE86" s="45"/>
      <c r="DF86" s="45"/>
      <c r="DG86" s="45"/>
      <c r="DH86" s="45"/>
      <c r="DI86" s="45"/>
      <c r="DJ86" s="45"/>
      <c r="DK86" s="47"/>
      <c r="DL86" s="47"/>
      <c r="DM86" s="47"/>
      <c r="DN86" s="47"/>
      <c r="DO86" s="47"/>
      <c r="DP86" s="47"/>
      <c r="DQ86" s="47"/>
      <c r="DR86" s="47"/>
      <c r="DS86" s="47"/>
      <c r="DT86" s="47"/>
      <c r="DU86" s="47"/>
      <c r="DV86" s="47"/>
      <c r="DW86" s="47"/>
      <c r="DX86" s="47"/>
      <c r="DY86" s="47"/>
      <c r="DZ86" s="47"/>
      <c r="EA86" s="47"/>
      <c r="EB86" s="47"/>
      <c r="EC86" s="47"/>
      <c r="ED86" s="47"/>
      <c r="EE86" s="47"/>
      <c r="EF86" s="47"/>
      <c r="EG86" s="47"/>
      <c r="EH86" s="47"/>
      <c r="EI86" s="40"/>
      <c r="EJ86" s="40"/>
      <c r="EK86" s="40"/>
      <c r="EL86" s="40"/>
      <c r="EM86" s="40"/>
      <c r="EN86" s="40"/>
      <c r="EO86" s="40"/>
      <c r="EP86" s="40"/>
      <c r="EQ86" s="40"/>
      <c r="ER86" s="40"/>
      <c r="ES86" s="40"/>
      <c r="ET86" s="40"/>
      <c r="EU86" s="40"/>
      <c r="EV86" s="40"/>
      <c r="EW86" s="40"/>
      <c r="EX86" s="40"/>
      <c r="EY86" s="40"/>
      <c r="EZ86" s="40"/>
      <c r="FA86" s="40"/>
      <c r="FB86" s="40"/>
      <c r="FC86" s="40"/>
      <c r="FD86" s="40"/>
      <c r="FE86" s="40"/>
      <c r="FF86" s="40"/>
      <c r="FG86" s="40"/>
      <c r="FH86" s="40"/>
      <c r="FI86" s="40"/>
      <c r="FJ86" s="40"/>
      <c r="FK86" s="40"/>
      <c r="FL86" s="40"/>
      <c r="FM86" s="40"/>
      <c r="FN86" s="40"/>
      <c r="FO86" s="40"/>
      <c r="FP86" s="40"/>
      <c r="FQ86" s="40"/>
      <c r="FR86" s="40"/>
      <c r="FS86" s="40"/>
      <c r="FT86" s="40"/>
      <c r="FU86" s="40"/>
      <c r="FV86" s="40"/>
    </row>
    <row r="87" spans="22:178" s="34" customFormat="1">
      <c r="V87" s="40"/>
      <c r="CX87" s="45"/>
      <c r="CY87" s="45"/>
      <c r="CZ87" s="45"/>
      <c r="DA87" s="45"/>
      <c r="DB87" s="45"/>
      <c r="DC87" s="45"/>
      <c r="DD87" s="45"/>
      <c r="DE87" s="45"/>
      <c r="DF87" s="45"/>
      <c r="DG87" s="45"/>
      <c r="DH87" s="45"/>
      <c r="DI87" s="45"/>
      <c r="DJ87" s="45"/>
      <c r="DK87" s="47"/>
      <c r="DL87" s="47"/>
      <c r="DM87" s="47"/>
      <c r="DN87" s="47"/>
      <c r="DO87" s="47"/>
      <c r="DP87" s="47"/>
      <c r="DQ87" s="47"/>
      <c r="DR87" s="47"/>
      <c r="DS87" s="47"/>
      <c r="DT87" s="47"/>
      <c r="DU87" s="47"/>
      <c r="DV87" s="47"/>
      <c r="DW87" s="47"/>
      <c r="DX87" s="47"/>
      <c r="DY87" s="47"/>
      <c r="DZ87" s="47"/>
      <c r="EA87" s="47"/>
      <c r="EB87" s="47"/>
      <c r="EC87" s="47"/>
      <c r="ED87" s="47"/>
      <c r="EE87" s="47"/>
      <c r="EF87" s="47"/>
      <c r="EG87" s="47"/>
      <c r="EH87" s="47"/>
      <c r="EI87" s="40"/>
      <c r="EJ87" s="40"/>
      <c r="EK87" s="40"/>
      <c r="EL87" s="40"/>
      <c r="EM87" s="40"/>
      <c r="EN87" s="40"/>
      <c r="EO87" s="40"/>
      <c r="EP87" s="40"/>
      <c r="EQ87" s="40"/>
      <c r="ER87" s="40"/>
      <c r="ES87" s="40"/>
      <c r="ET87" s="40"/>
      <c r="EU87" s="40"/>
      <c r="EV87" s="40"/>
      <c r="EW87" s="40"/>
      <c r="EX87" s="40"/>
      <c r="EY87" s="40"/>
      <c r="EZ87" s="40"/>
      <c r="FA87" s="40"/>
      <c r="FB87" s="40"/>
      <c r="FC87" s="40"/>
      <c r="FD87" s="40"/>
      <c r="FE87" s="40"/>
      <c r="FF87" s="40"/>
      <c r="FG87" s="40"/>
      <c r="FH87" s="40"/>
      <c r="FI87" s="40"/>
      <c r="FJ87" s="40"/>
      <c r="FK87" s="40"/>
      <c r="FL87" s="40"/>
      <c r="FM87" s="40"/>
      <c r="FN87" s="40"/>
      <c r="FO87" s="40"/>
      <c r="FP87" s="40"/>
      <c r="FQ87" s="40"/>
      <c r="FR87" s="40"/>
      <c r="FS87" s="40"/>
      <c r="FT87" s="40"/>
      <c r="FU87" s="40"/>
      <c r="FV87" s="40"/>
    </row>
    <row r="88" spans="22:178" s="34" customFormat="1">
      <c r="V88" s="40"/>
      <c r="CX88" s="45"/>
      <c r="CY88" s="45"/>
      <c r="CZ88" s="45"/>
      <c r="DA88" s="45"/>
      <c r="DB88" s="45"/>
      <c r="DC88" s="45"/>
      <c r="DD88" s="45"/>
      <c r="DE88" s="45"/>
      <c r="DF88" s="45"/>
      <c r="DG88" s="45"/>
      <c r="DH88" s="45"/>
      <c r="DI88" s="45"/>
      <c r="DJ88" s="45"/>
      <c r="DK88" s="47"/>
      <c r="DL88" s="47"/>
      <c r="DM88" s="47"/>
      <c r="DN88" s="47"/>
      <c r="DO88" s="47"/>
      <c r="DP88" s="47"/>
      <c r="DQ88" s="47"/>
      <c r="DR88" s="47"/>
      <c r="DS88" s="47"/>
      <c r="DT88" s="47"/>
      <c r="DU88" s="47"/>
      <c r="DV88" s="47"/>
      <c r="DW88" s="47"/>
      <c r="DX88" s="47"/>
      <c r="DY88" s="47"/>
      <c r="DZ88" s="47"/>
      <c r="EA88" s="47"/>
      <c r="EB88" s="47"/>
      <c r="EC88" s="47"/>
      <c r="ED88" s="47"/>
      <c r="EE88" s="47"/>
      <c r="EF88" s="47"/>
      <c r="EG88" s="47"/>
      <c r="EH88" s="47"/>
      <c r="EI88" s="40"/>
      <c r="EJ88" s="40"/>
      <c r="EK88" s="40"/>
      <c r="EL88" s="40"/>
      <c r="EM88" s="40"/>
      <c r="EN88" s="40"/>
      <c r="EO88" s="40"/>
      <c r="EP88" s="40"/>
      <c r="EQ88" s="40"/>
      <c r="ER88" s="40"/>
      <c r="ES88" s="40"/>
      <c r="ET88" s="40"/>
      <c r="EU88" s="40"/>
      <c r="EV88" s="40"/>
      <c r="EW88" s="40"/>
      <c r="EX88" s="40"/>
      <c r="EY88" s="40"/>
      <c r="EZ88" s="40"/>
      <c r="FA88" s="40"/>
      <c r="FB88" s="40"/>
      <c r="FC88" s="40"/>
      <c r="FD88" s="40"/>
      <c r="FE88" s="40"/>
      <c r="FF88" s="40"/>
      <c r="FG88" s="40"/>
      <c r="FH88" s="40"/>
      <c r="FI88" s="40"/>
      <c r="FJ88" s="40"/>
      <c r="FK88" s="40"/>
      <c r="FL88" s="40"/>
      <c r="FM88" s="40"/>
      <c r="FN88" s="40"/>
      <c r="FO88" s="40"/>
      <c r="FP88" s="40"/>
      <c r="FQ88" s="40"/>
      <c r="FR88" s="40"/>
      <c r="FS88" s="40"/>
      <c r="FT88" s="40"/>
      <c r="FU88" s="40"/>
      <c r="FV88" s="40"/>
    </row>
    <row r="89" spans="22:178" s="34" customFormat="1">
      <c r="V89" s="40"/>
      <c r="CX89" s="45"/>
      <c r="CY89" s="45"/>
      <c r="CZ89" s="45"/>
      <c r="DA89" s="45"/>
      <c r="DB89" s="45"/>
      <c r="DC89" s="45"/>
      <c r="DD89" s="45"/>
      <c r="DE89" s="45"/>
      <c r="DF89" s="45"/>
      <c r="DG89" s="45"/>
      <c r="DH89" s="45"/>
      <c r="DI89" s="45"/>
      <c r="DJ89" s="45"/>
      <c r="DK89" s="47"/>
      <c r="DL89" s="47"/>
      <c r="DM89" s="47"/>
      <c r="DN89" s="47"/>
      <c r="DO89" s="47"/>
      <c r="DP89" s="47"/>
      <c r="DQ89" s="47"/>
      <c r="DR89" s="47"/>
      <c r="DS89" s="47"/>
      <c r="DT89" s="47"/>
      <c r="DU89" s="47"/>
      <c r="DV89" s="47"/>
      <c r="DW89" s="47"/>
      <c r="DX89" s="47"/>
      <c r="DY89" s="47"/>
      <c r="DZ89" s="47"/>
      <c r="EA89" s="47"/>
      <c r="EB89" s="47"/>
      <c r="EC89" s="47"/>
      <c r="ED89" s="47"/>
      <c r="EE89" s="47"/>
      <c r="EF89" s="47"/>
      <c r="EG89" s="47"/>
      <c r="EH89" s="47"/>
      <c r="EI89" s="40"/>
      <c r="EJ89" s="40"/>
      <c r="EK89" s="40"/>
      <c r="EL89" s="40"/>
      <c r="EM89" s="40"/>
      <c r="EN89" s="40"/>
      <c r="EO89" s="40"/>
      <c r="EP89" s="40"/>
      <c r="EQ89" s="40"/>
      <c r="ER89" s="40"/>
      <c r="ES89" s="40"/>
      <c r="ET89" s="40"/>
      <c r="EU89" s="40"/>
      <c r="EV89" s="40"/>
      <c r="EW89" s="40"/>
      <c r="EX89" s="40"/>
      <c r="EY89" s="40"/>
      <c r="EZ89" s="40"/>
      <c r="FA89" s="40"/>
      <c r="FB89" s="40"/>
      <c r="FC89" s="40"/>
      <c r="FD89" s="40"/>
      <c r="FE89" s="40"/>
      <c r="FF89" s="40"/>
      <c r="FG89" s="40"/>
      <c r="FH89" s="40"/>
      <c r="FI89" s="40"/>
      <c r="FJ89" s="40"/>
      <c r="FK89" s="40"/>
      <c r="FL89" s="40"/>
      <c r="FM89" s="40"/>
      <c r="FN89" s="40"/>
      <c r="FO89" s="40"/>
      <c r="FP89" s="40"/>
      <c r="FQ89" s="40"/>
      <c r="FR89" s="40"/>
      <c r="FS89" s="40"/>
      <c r="FT89" s="40"/>
      <c r="FU89" s="40"/>
      <c r="FV89" s="40"/>
    </row>
    <row r="90" spans="22:178" s="34" customFormat="1">
      <c r="V90" s="40"/>
      <c r="CX90" s="45"/>
      <c r="CY90" s="45"/>
      <c r="CZ90" s="45"/>
      <c r="DA90" s="45"/>
      <c r="DB90" s="45"/>
      <c r="DC90" s="45"/>
      <c r="DD90" s="45"/>
      <c r="DE90" s="45"/>
      <c r="DF90" s="45"/>
      <c r="DG90" s="45"/>
      <c r="DH90" s="45"/>
      <c r="DI90" s="45"/>
      <c r="DJ90" s="45"/>
      <c r="DK90" s="47"/>
      <c r="DL90" s="47"/>
      <c r="DM90" s="47"/>
      <c r="DN90" s="47"/>
      <c r="DO90" s="47"/>
      <c r="DP90" s="47"/>
      <c r="DQ90" s="47"/>
      <c r="DR90" s="47"/>
      <c r="DS90" s="47"/>
      <c r="DT90" s="47"/>
      <c r="DU90" s="47"/>
      <c r="DV90" s="47"/>
      <c r="DW90" s="47"/>
      <c r="DX90" s="47"/>
      <c r="DY90" s="47"/>
      <c r="DZ90" s="47"/>
      <c r="EA90" s="47"/>
      <c r="EB90" s="47"/>
      <c r="EC90" s="47"/>
      <c r="ED90" s="47"/>
      <c r="EE90" s="47"/>
      <c r="EF90" s="47"/>
      <c r="EG90" s="47"/>
      <c r="EH90" s="47"/>
      <c r="EI90" s="40"/>
      <c r="EJ90" s="40"/>
      <c r="EK90" s="40"/>
      <c r="EL90" s="40"/>
      <c r="EM90" s="40"/>
      <c r="EN90" s="40"/>
      <c r="EO90" s="40"/>
      <c r="EP90" s="40"/>
      <c r="EQ90" s="40"/>
      <c r="ER90" s="40"/>
      <c r="ES90" s="40"/>
      <c r="ET90" s="40"/>
      <c r="EU90" s="40"/>
      <c r="EV90" s="40"/>
      <c r="EW90" s="40"/>
      <c r="EX90" s="40"/>
      <c r="EY90" s="40"/>
      <c r="EZ90" s="40"/>
      <c r="FA90" s="40"/>
      <c r="FB90" s="40"/>
      <c r="FC90" s="40"/>
      <c r="FD90" s="40"/>
      <c r="FE90" s="40"/>
      <c r="FF90" s="40"/>
      <c r="FG90" s="40"/>
      <c r="FH90" s="40"/>
      <c r="FI90" s="40"/>
      <c r="FJ90" s="40"/>
      <c r="FK90" s="40"/>
      <c r="FL90" s="40"/>
      <c r="FM90" s="40"/>
      <c r="FN90" s="40"/>
      <c r="FO90" s="40"/>
      <c r="FP90" s="40"/>
      <c r="FQ90" s="40"/>
      <c r="FR90" s="40"/>
      <c r="FS90" s="40"/>
      <c r="FT90" s="40"/>
      <c r="FU90" s="40"/>
      <c r="FV90" s="40"/>
    </row>
    <row r="91" spans="22:178" s="34" customFormat="1">
      <c r="V91" s="40"/>
      <c r="CX91" s="45"/>
      <c r="CY91" s="45"/>
      <c r="CZ91" s="45"/>
      <c r="DA91" s="45"/>
      <c r="DB91" s="45"/>
      <c r="DC91" s="45"/>
      <c r="DD91" s="45"/>
      <c r="DE91" s="45"/>
      <c r="DF91" s="45"/>
      <c r="DG91" s="45"/>
      <c r="DH91" s="45"/>
      <c r="DI91" s="45"/>
      <c r="DJ91" s="45"/>
      <c r="DK91" s="47"/>
      <c r="DL91" s="47"/>
      <c r="DM91" s="47"/>
      <c r="DN91" s="47"/>
      <c r="DO91" s="47"/>
      <c r="DP91" s="47"/>
      <c r="DQ91" s="47"/>
      <c r="DR91" s="47"/>
      <c r="DS91" s="47"/>
      <c r="DT91" s="47"/>
      <c r="DU91" s="47"/>
      <c r="DV91" s="47"/>
      <c r="DW91" s="47"/>
      <c r="DX91" s="47"/>
      <c r="DY91" s="47"/>
      <c r="DZ91" s="47"/>
      <c r="EA91" s="47"/>
      <c r="EB91" s="47"/>
      <c r="EC91" s="47"/>
      <c r="ED91" s="47"/>
      <c r="EE91" s="47"/>
      <c r="EF91" s="47"/>
      <c r="EG91" s="47"/>
      <c r="EH91" s="47"/>
      <c r="EI91" s="40"/>
      <c r="EJ91" s="40"/>
      <c r="EK91" s="40"/>
      <c r="EL91" s="40"/>
      <c r="EM91" s="40"/>
      <c r="EN91" s="40"/>
      <c r="EO91" s="40"/>
      <c r="EP91" s="40"/>
      <c r="EQ91" s="40"/>
      <c r="ER91" s="40"/>
      <c r="ES91" s="40"/>
      <c r="ET91" s="40"/>
      <c r="EU91" s="40"/>
      <c r="EV91" s="40"/>
      <c r="EW91" s="40"/>
      <c r="EX91" s="40"/>
      <c r="EY91" s="40"/>
      <c r="EZ91" s="40"/>
      <c r="FA91" s="40"/>
      <c r="FB91" s="40"/>
      <c r="FC91" s="40"/>
      <c r="FD91" s="40"/>
      <c r="FE91" s="40"/>
      <c r="FF91" s="40"/>
      <c r="FG91" s="40"/>
      <c r="FH91" s="40"/>
      <c r="FI91" s="40"/>
      <c r="FJ91" s="40"/>
      <c r="FK91" s="40"/>
      <c r="FL91" s="40"/>
      <c r="FM91" s="40"/>
      <c r="FN91" s="40"/>
      <c r="FO91" s="40"/>
      <c r="FP91" s="40"/>
      <c r="FQ91" s="40"/>
      <c r="FR91" s="40"/>
      <c r="FS91" s="40"/>
      <c r="FT91" s="40"/>
      <c r="FU91" s="40"/>
      <c r="FV91" s="40"/>
    </row>
    <row r="92" spans="22:178" s="34" customFormat="1">
      <c r="V92" s="40"/>
      <c r="CX92" s="45"/>
      <c r="CY92" s="45"/>
      <c r="CZ92" s="45"/>
      <c r="DA92" s="45"/>
      <c r="DB92" s="45"/>
      <c r="DC92" s="45"/>
      <c r="DD92" s="45"/>
      <c r="DE92" s="45"/>
      <c r="DF92" s="45"/>
      <c r="DG92" s="45"/>
      <c r="DH92" s="45"/>
      <c r="DI92" s="45"/>
      <c r="DJ92" s="45"/>
      <c r="DK92" s="47"/>
      <c r="DL92" s="47"/>
      <c r="DM92" s="47"/>
      <c r="DN92" s="47"/>
      <c r="DO92" s="47"/>
      <c r="DP92" s="47"/>
      <c r="DQ92" s="47"/>
      <c r="DR92" s="47"/>
      <c r="DS92" s="47"/>
      <c r="DT92" s="47"/>
      <c r="DU92" s="47"/>
      <c r="DV92" s="47"/>
      <c r="DW92" s="47"/>
      <c r="DX92" s="47"/>
      <c r="DY92" s="47"/>
      <c r="DZ92" s="47"/>
      <c r="EA92" s="47"/>
      <c r="EB92" s="47"/>
      <c r="EC92" s="47"/>
      <c r="ED92" s="47"/>
      <c r="EE92" s="47"/>
      <c r="EF92" s="47"/>
      <c r="EG92" s="47"/>
      <c r="EH92" s="47"/>
      <c r="EI92" s="40"/>
      <c r="EJ92" s="40"/>
      <c r="EK92" s="40"/>
      <c r="EL92" s="40"/>
      <c r="EM92" s="40"/>
      <c r="EN92" s="40"/>
      <c r="EO92" s="40"/>
      <c r="EP92" s="40"/>
      <c r="EQ92" s="40"/>
      <c r="ER92" s="40"/>
      <c r="ES92" s="40"/>
      <c r="ET92" s="40"/>
      <c r="EU92" s="40"/>
      <c r="EV92" s="40"/>
      <c r="EW92" s="40"/>
      <c r="EX92" s="40"/>
      <c r="EY92" s="40"/>
      <c r="EZ92" s="40"/>
      <c r="FA92" s="40"/>
      <c r="FB92" s="40"/>
      <c r="FC92" s="40"/>
      <c r="FD92" s="40"/>
      <c r="FE92" s="40"/>
      <c r="FF92" s="40"/>
      <c r="FG92" s="40"/>
      <c r="FH92" s="40"/>
      <c r="FI92" s="40"/>
      <c r="FJ92" s="40"/>
      <c r="FK92" s="40"/>
      <c r="FL92" s="40"/>
      <c r="FM92" s="40"/>
      <c r="FN92" s="40"/>
      <c r="FO92" s="40"/>
      <c r="FP92" s="40"/>
      <c r="FQ92" s="40"/>
      <c r="FR92" s="40"/>
      <c r="FS92" s="40"/>
      <c r="FT92" s="40"/>
      <c r="FU92" s="40"/>
      <c r="FV92" s="40"/>
    </row>
    <row r="93" spans="22:178" s="34" customFormat="1">
      <c r="V93" s="40"/>
      <c r="CX93" s="45"/>
      <c r="CY93" s="45"/>
      <c r="CZ93" s="45"/>
      <c r="DA93" s="45"/>
      <c r="DB93" s="45"/>
      <c r="DC93" s="45"/>
      <c r="DD93" s="45"/>
      <c r="DE93" s="45"/>
      <c r="DF93" s="45"/>
      <c r="DG93" s="45"/>
      <c r="DH93" s="45"/>
      <c r="DI93" s="45"/>
      <c r="DJ93" s="45"/>
      <c r="DK93" s="47"/>
      <c r="DL93" s="47"/>
      <c r="DM93" s="47"/>
      <c r="DN93" s="47"/>
      <c r="DO93" s="47"/>
      <c r="DP93" s="47"/>
      <c r="DQ93" s="47"/>
      <c r="DR93" s="47"/>
      <c r="DS93" s="47"/>
      <c r="DT93" s="47"/>
      <c r="DU93" s="47"/>
      <c r="DV93" s="47"/>
      <c r="DW93" s="47"/>
      <c r="DX93" s="47"/>
      <c r="DY93" s="47"/>
      <c r="DZ93" s="47"/>
      <c r="EA93" s="47"/>
      <c r="EB93" s="47"/>
      <c r="EC93" s="47"/>
      <c r="ED93" s="47"/>
      <c r="EE93" s="47"/>
      <c r="EF93" s="47"/>
      <c r="EG93" s="47"/>
      <c r="EH93" s="47"/>
      <c r="EI93" s="40"/>
      <c r="EJ93" s="40"/>
      <c r="EK93" s="40"/>
      <c r="EL93" s="40"/>
      <c r="EM93" s="40"/>
      <c r="EN93" s="40"/>
      <c r="EO93" s="40"/>
      <c r="EP93" s="40"/>
      <c r="EQ93" s="40"/>
      <c r="ER93" s="40"/>
      <c r="ES93" s="40"/>
      <c r="ET93" s="40"/>
      <c r="EU93" s="40"/>
      <c r="EV93" s="40"/>
      <c r="EW93" s="40"/>
      <c r="EX93" s="40"/>
      <c r="EY93" s="40"/>
      <c r="EZ93" s="40"/>
      <c r="FA93" s="40"/>
      <c r="FB93" s="40"/>
      <c r="FC93" s="40"/>
      <c r="FD93" s="40"/>
      <c r="FE93" s="40"/>
      <c r="FF93" s="40"/>
      <c r="FG93" s="40"/>
      <c r="FH93" s="40"/>
      <c r="FI93" s="40"/>
      <c r="FJ93" s="40"/>
      <c r="FK93" s="40"/>
      <c r="FL93" s="40"/>
      <c r="FM93" s="40"/>
      <c r="FN93" s="40"/>
      <c r="FO93" s="40"/>
      <c r="FP93" s="40"/>
      <c r="FQ93" s="40"/>
      <c r="FR93" s="40"/>
      <c r="FS93" s="40"/>
      <c r="FT93" s="40"/>
      <c r="FU93" s="40"/>
      <c r="FV93" s="40"/>
    </row>
    <row r="94" spans="22:178" s="34" customFormat="1">
      <c r="V94" s="40"/>
      <c r="CX94" s="45"/>
      <c r="CY94" s="45"/>
      <c r="CZ94" s="45"/>
      <c r="DA94" s="45"/>
      <c r="DB94" s="45"/>
      <c r="DC94" s="45"/>
      <c r="DD94" s="45"/>
      <c r="DE94" s="45"/>
      <c r="DF94" s="45"/>
      <c r="DG94" s="45"/>
      <c r="DH94" s="45"/>
      <c r="DI94" s="45"/>
      <c r="DJ94" s="45"/>
      <c r="DK94" s="47"/>
      <c r="DL94" s="47"/>
      <c r="DM94" s="47"/>
      <c r="DN94" s="47"/>
      <c r="DO94" s="47"/>
      <c r="DP94" s="47"/>
      <c r="DQ94" s="47"/>
      <c r="DR94" s="47"/>
      <c r="DS94" s="47"/>
      <c r="DT94" s="47"/>
      <c r="DU94" s="47"/>
      <c r="DV94" s="47"/>
      <c r="DW94" s="47"/>
      <c r="DX94" s="47"/>
      <c r="DY94" s="47"/>
      <c r="DZ94" s="47"/>
      <c r="EA94" s="47"/>
      <c r="EB94" s="47"/>
      <c r="EC94" s="47"/>
      <c r="ED94" s="47"/>
      <c r="EE94" s="47"/>
      <c r="EF94" s="47"/>
      <c r="EG94" s="47"/>
      <c r="EH94" s="47"/>
      <c r="EI94" s="40"/>
      <c r="EJ94" s="40"/>
      <c r="EK94" s="40"/>
      <c r="EL94" s="40"/>
      <c r="EM94" s="40"/>
      <c r="EN94" s="40"/>
      <c r="EO94" s="40"/>
      <c r="EP94" s="40"/>
      <c r="EQ94" s="40"/>
      <c r="ER94" s="40"/>
      <c r="ES94" s="40"/>
      <c r="ET94" s="40"/>
      <c r="EU94" s="40"/>
      <c r="EV94" s="40"/>
      <c r="EW94" s="40"/>
      <c r="EX94" s="40"/>
      <c r="EY94" s="40"/>
      <c r="EZ94" s="40"/>
      <c r="FA94" s="40"/>
      <c r="FB94" s="40"/>
      <c r="FC94" s="40"/>
      <c r="FD94" s="40"/>
      <c r="FE94" s="40"/>
      <c r="FF94" s="40"/>
      <c r="FG94" s="40"/>
      <c r="FH94" s="40"/>
      <c r="FI94" s="40"/>
      <c r="FJ94" s="40"/>
      <c r="FK94" s="40"/>
      <c r="FL94" s="40"/>
      <c r="FM94" s="40"/>
      <c r="FN94" s="40"/>
      <c r="FO94" s="40"/>
      <c r="FP94" s="40"/>
      <c r="FQ94" s="40"/>
      <c r="FR94" s="40"/>
      <c r="FS94" s="40"/>
      <c r="FT94" s="40"/>
      <c r="FU94" s="40"/>
      <c r="FV94" s="40"/>
    </row>
    <row r="95" spans="22:178" s="34" customFormat="1">
      <c r="V95" s="40"/>
      <c r="CX95" s="45"/>
      <c r="CY95" s="45"/>
      <c r="CZ95" s="45"/>
      <c r="DA95" s="45"/>
      <c r="DB95" s="45"/>
      <c r="DC95" s="45"/>
      <c r="DD95" s="45"/>
      <c r="DE95" s="45"/>
      <c r="DF95" s="45"/>
      <c r="DG95" s="45"/>
      <c r="DH95" s="45"/>
      <c r="DI95" s="45"/>
      <c r="DJ95" s="45"/>
      <c r="DK95" s="47"/>
      <c r="DL95" s="47"/>
      <c r="DM95" s="47"/>
      <c r="DN95" s="47"/>
      <c r="DO95" s="47"/>
      <c r="DP95" s="47"/>
      <c r="DQ95" s="47"/>
      <c r="DR95" s="47"/>
      <c r="DS95" s="47"/>
      <c r="DT95" s="47"/>
      <c r="DU95" s="47"/>
      <c r="DV95" s="47"/>
      <c r="DW95" s="47"/>
      <c r="DX95" s="47"/>
      <c r="DY95" s="47"/>
      <c r="DZ95" s="47"/>
      <c r="EA95" s="47"/>
      <c r="EB95" s="47"/>
      <c r="EC95" s="47"/>
      <c r="ED95" s="47"/>
      <c r="EE95" s="47"/>
      <c r="EF95" s="47"/>
      <c r="EG95" s="47"/>
      <c r="EH95" s="47"/>
      <c r="EI95" s="40"/>
      <c r="EJ95" s="40"/>
      <c r="EK95" s="40"/>
      <c r="EL95" s="40"/>
      <c r="EM95" s="40"/>
      <c r="EN95" s="40"/>
      <c r="EO95" s="40"/>
      <c r="EP95" s="40"/>
      <c r="EQ95" s="40"/>
      <c r="ER95" s="40"/>
      <c r="ES95" s="40"/>
      <c r="ET95" s="40"/>
      <c r="EU95" s="40"/>
      <c r="EV95" s="40"/>
      <c r="EW95" s="40"/>
      <c r="EX95" s="40"/>
      <c r="EY95" s="40"/>
      <c r="EZ95" s="40"/>
      <c r="FA95" s="40"/>
      <c r="FB95" s="40"/>
      <c r="FC95" s="40"/>
      <c r="FD95" s="40"/>
      <c r="FE95" s="40"/>
      <c r="FF95" s="40"/>
      <c r="FG95" s="40"/>
      <c r="FH95" s="40"/>
      <c r="FI95" s="40"/>
      <c r="FJ95" s="40"/>
      <c r="FK95" s="40"/>
      <c r="FL95" s="40"/>
      <c r="FM95" s="40"/>
      <c r="FN95" s="40"/>
      <c r="FO95" s="40"/>
      <c r="FP95" s="40"/>
      <c r="FQ95" s="40"/>
      <c r="FR95" s="40"/>
      <c r="FS95" s="40"/>
      <c r="FT95" s="40"/>
      <c r="FU95" s="40"/>
      <c r="FV95" s="40"/>
    </row>
    <row r="96" spans="22:178" s="34" customFormat="1">
      <c r="V96" s="40"/>
      <c r="CX96" s="45"/>
      <c r="CY96" s="45"/>
      <c r="CZ96" s="45"/>
      <c r="DA96" s="45"/>
      <c r="DB96" s="45"/>
      <c r="DC96" s="45"/>
      <c r="DD96" s="45"/>
      <c r="DE96" s="45"/>
      <c r="DF96" s="45"/>
      <c r="DG96" s="45"/>
      <c r="DH96" s="45"/>
      <c r="DI96" s="45"/>
      <c r="DJ96" s="45"/>
      <c r="DK96" s="47"/>
      <c r="DL96" s="47"/>
      <c r="DM96" s="47"/>
      <c r="DN96" s="47"/>
      <c r="DO96" s="47"/>
      <c r="DP96" s="47"/>
      <c r="DQ96" s="47"/>
      <c r="DR96" s="47"/>
      <c r="DS96" s="47"/>
      <c r="DT96" s="47"/>
      <c r="DU96" s="47"/>
      <c r="DV96" s="47"/>
      <c r="DW96" s="47"/>
      <c r="DX96" s="47"/>
      <c r="DY96" s="47"/>
      <c r="DZ96" s="47"/>
      <c r="EA96" s="47"/>
      <c r="EB96" s="47"/>
      <c r="EC96" s="47"/>
      <c r="ED96" s="47"/>
      <c r="EE96" s="47"/>
      <c r="EF96" s="47"/>
      <c r="EG96" s="47"/>
      <c r="EH96" s="47"/>
      <c r="EI96" s="40"/>
      <c r="EJ96" s="40"/>
      <c r="EK96" s="40"/>
      <c r="EL96" s="40"/>
      <c r="EM96" s="40"/>
      <c r="EN96" s="40"/>
      <c r="EO96" s="40"/>
      <c r="EP96" s="40"/>
      <c r="EQ96" s="40"/>
      <c r="ER96" s="40"/>
      <c r="ES96" s="40"/>
      <c r="ET96" s="40"/>
      <c r="EU96" s="40"/>
      <c r="EV96" s="40"/>
      <c r="EW96" s="40"/>
      <c r="EX96" s="40"/>
      <c r="EY96" s="40"/>
      <c r="EZ96" s="40"/>
      <c r="FA96" s="40"/>
      <c r="FB96" s="40"/>
      <c r="FC96" s="40"/>
      <c r="FD96" s="40"/>
      <c r="FE96" s="40"/>
      <c r="FF96" s="40"/>
      <c r="FG96" s="40"/>
      <c r="FH96" s="40"/>
      <c r="FI96" s="40"/>
      <c r="FJ96" s="40"/>
      <c r="FK96" s="40"/>
      <c r="FL96" s="40"/>
      <c r="FM96" s="40"/>
      <c r="FN96" s="40"/>
      <c r="FO96" s="40"/>
      <c r="FP96" s="40"/>
      <c r="FQ96" s="40"/>
      <c r="FR96" s="40"/>
      <c r="FS96" s="40"/>
      <c r="FT96" s="40"/>
      <c r="FU96" s="40"/>
      <c r="FV96" s="40"/>
    </row>
    <row r="97" spans="22:178" s="34" customFormat="1">
      <c r="V97" s="40"/>
      <c r="CX97" s="45"/>
      <c r="CY97" s="45"/>
      <c r="CZ97" s="45"/>
      <c r="DA97" s="45"/>
      <c r="DB97" s="45"/>
      <c r="DC97" s="45"/>
      <c r="DD97" s="45"/>
      <c r="DE97" s="45"/>
      <c r="DF97" s="45"/>
      <c r="DG97" s="45"/>
      <c r="DH97" s="45"/>
      <c r="DI97" s="45"/>
      <c r="DJ97" s="45"/>
      <c r="DK97" s="47"/>
      <c r="DL97" s="47"/>
      <c r="DM97" s="47"/>
      <c r="DN97" s="47"/>
      <c r="DO97" s="47"/>
      <c r="DP97" s="47"/>
      <c r="DQ97" s="47"/>
      <c r="DR97" s="47"/>
      <c r="DS97" s="47"/>
      <c r="DT97" s="47"/>
      <c r="DU97" s="47"/>
      <c r="DV97" s="47"/>
      <c r="DW97" s="47"/>
      <c r="DX97" s="47"/>
      <c r="DY97" s="47"/>
      <c r="DZ97" s="47"/>
      <c r="EA97" s="47"/>
      <c r="EB97" s="47"/>
      <c r="EC97" s="47"/>
      <c r="ED97" s="47"/>
      <c r="EE97" s="47"/>
      <c r="EF97" s="47"/>
      <c r="EG97" s="47"/>
      <c r="EH97" s="47"/>
      <c r="EI97" s="40"/>
      <c r="EJ97" s="40"/>
      <c r="EK97" s="40"/>
      <c r="EL97" s="40"/>
      <c r="EM97" s="40"/>
      <c r="EN97" s="40"/>
      <c r="EO97" s="40"/>
      <c r="EP97" s="40"/>
      <c r="EQ97" s="40"/>
      <c r="ER97" s="40"/>
      <c r="ES97" s="40"/>
      <c r="ET97" s="40"/>
      <c r="EU97" s="40"/>
      <c r="EV97" s="40"/>
      <c r="EW97" s="40"/>
      <c r="EX97" s="40"/>
      <c r="EY97" s="40"/>
      <c r="EZ97" s="40"/>
      <c r="FA97" s="40"/>
      <c r="FB97" s="40"/>
      <c r="FC97" s="40"/>
      <c r="FD97" s="40"/>
      <c r="FE97" s="40"/>
      <c r="FF97" s="40"/>
      <c r="FG97" s="40"/>
      <c r="FH97" s="40"/>
      <c r="FI97" s="40"/>
      <c r="FJ97" s="40"/>
      <c r="FK97" s="40"/>
      <c r="FL97" s="40"/>
      <c r="FM97" s="40"/>
      <c r="FN97" s="40"/>
      <c r="FO97" s="40"/>
      <c r="FP97" s="40"/>
      <c r="FQ97" s="40"/>
      <c r="FR97" s="40"/>
      <c r="FS97" s="40"/>
      <c r="FT97" s="40"/>
      <c r="FU97" s="40"/>
      <c r="FV97" s="40"/>
    </row>
    <row r="98" spans="22:178" s="34" customFormat="1">
      <c r="V98" s="40"/>
      <c r="CX98" s="45"/>
      <c r="CY98" s="45"/>
      <c r="CZ98" s="45"/>
      <c r="DA98" s="45"/>
      <c r="DB98" s="45"/>
      <c r="DC98" s="45"/>
      <c r="DD98" s="45"/>
      <c r="DE98" s="45"/>
      <c r="DF98" s="45"/>
      <c r="DG98" s="45"/>
      <c r="DH98" s="45"/>
      <c r="DI98" s="45"/>
      <c r="DJ98" s="45"/>
      <c r="DK98" s="47"/>
      <c r="DL98" s="47"/>
      <c r="DM98" s="47"/>
      <c r="DN98" s="47"/>
      <c r="DO98" s="47"/>
      <c r="DP98" s="47"/>
      <c r="DQ98" s="47"/>
      <c r="DR98" s="47"/>
      <c r="DS98" s="47"/>
      <c r="DT98" s="47"/>
      <c r="DU98" s="47"/>
      <c r="DV98" s="47"/>
      <c r="DW98" s="47"/>
      <c r="DX98" s="47"/>
      <c r="DY98" s="47"/>
      <c r="DZ98" s="47"/>
      <c r="EA98" s="47"/>
      <c r="EB98" s="47"/>
      <c r="EC98" s="47"/>
      <c r="ED98" s="47"/>
      <c r="EE98" s="47"/>
      <c r="EF98" s="47"/>
      <c r="EG98" s="47"/>
      <c r="EH98" s="47"/>
      <c r="EI98" s="40"/>
      <c r="EJ98" s="40"/>
      <c r="EK98" s="40"/>
      <c r="EL98" s="40"/>
      <c r="EM98" s="40"/>
      <c r="EN98" s="40"/>
      <c r="EO98" s="40"/>
      <c r="EP98" s="40"/>
      <c r="EQ98" s="40"/>
      <c r="ER98" s="40"/>
      <c r="ES98" s="40"/>
      <c r="ET98" s="40"/>
      <c r="EU98" s="40"/>
      <c r="EV98" s="40"/>
      <c r="EW98" s="40"/>
      <c r="EX98" s="40"/>
      <c r="EY98" s="40"/>
      <c r="EZ98" s="40"/>
      <c r="FA98" s="40"/>
      <c r="FB98" s="40"/>
      <c r="FC98" s="40"/>
      <c r="FD98" s="40"/>
      <c r="FE98" s="40"/>
      <c r="FF98" s="40"/>
      <c r="FG98" s="40"/>
      <c r="FH98" s="40"/>
      <c r="FI98" s="40"/>
      <c r="FJ98" s="40"/>
      <c r="FK98" s="40"/>
      <c r="FL98" s="40"/>
      <c r="FM98" s="40"/>
      <c r="FN98" s="40"/>
      <c r="FO98" s="40"/>
      <c r="FP98" s="40"/>
      <c r="FQ98" s="40"/>
      <c r="FR98" s="40"/>
      <c r="FS98" s="40"/>
      <c r="FT98" s="40"/>
      <c r="FU98" s="40"/>
      <c r="FV98" s="40"/>
    </row>
    <row r="99" spans="22:178" s="34" customFormat="1">
      <c r="V99" s="40"/>
      <c r="CX99" s="45"/>
      <c r="CY99" s="45"/>
      <c r="CZ99" s="45"/>
      <c r="DA99" s="45"/>
      <c r="DB99" s="45"/>
      <c r="DC99" s="45"/>
      <c r="DD99" s="45"/>
      <c r="DE99" s="45"/>
      <c r="DF99" s="45"/>
      <c r="DG99" s="45"/>
      <c r="DH99" s="45"/>
      <c r="DI99" s="45"/>
      <c r="DJ99" s="45"/>
      <c r="DK99" s="47"/>
      <c r="DL99" s="47"/>
      <c r="DM99" s="47"/>
      <c r="DN99" s="47"/>
      <c r="DO99" s="47"/>
      <c r="DP99" s="47"/>
      <c r="DQ99" s="47"/>
      <c r="DR99" s="47"/>
      <c r="DS99" s="47"/>
      <c r="DT99" s="47"/>
      <c r="DU99" s="47"/>
      <c r="DV99" s="47"/>
      <c r="DW99" s="47"/>
      <c r="DX99" s="47"/>
      <c r="DY99" s="47"/>
      <c r="DZ99" s="47"/>
      <c r="EA99" s="47"/>
      <c r="EB99" s="47"/>
      <c r="EC99" s="47"/>
      <c r="ED99" s="47"/>
      <c r="EE99" s="47"/>
      <c r="EF99" s="47"/>
      <c r="EG99" s="47"/>
      <c r="EH99" s="47"/>
      <c r="EI99" s="40"/>
      <c r="EJ99" s="40"/>
      <c r="EK99" s="40"/>
      <c r="EL99" s="40"/>
      <c r="EM99" s="40"/>
      <c r="EN99" s="40"/>
      <c r="EO99" s="40"/>
      <c r="EP99" s="40"/>
      <c r="EQ99" s="40"/>
      <c r="ER99" s="40"/>
      <c r="ES99" s="40"/>
      <c r="ET99" s="40"/>
      <c r="EU99" s="40"/>
      <c r="EV99" s="40"/>
      <c r="EW99" s="40"/>
      <c r="EX99" s="40"/>
      <c r="EY99" s="40"/>
      <c r="EZ99" s="40"/>
      <c r="FA99" s="40"/>
      <c r="FB99" s="40"/>
      <c r="FC99" s="40"/>
      <c r="FD99" s="40"/>
      <c r="FE99" s="40"/>
      <c r="FF99" s="40"/>
      <c r="FG99" s="40"/>
      <c r="FH99" s="40"/>
      <c r="FI99" s="40"/>
      <c r="FJ99" s="40"/>
      <c r="FK99" s="40"/>
      <c r="FL99" s="40"/>
      <c r="FM99" s="40"/>
      <c r="FN99" s="40"/>
      <c r="FO99" s="40"/>
      <c r="FP99" s="40"/>
      <c r="FQ99" s="40"/>
      <c r="FR99" s="40"/>
      <c r="FS99" s="40"/>
      <c r="FT99" s="40"/>
      <c r="FU99" s="40"/>
      <c r="FV99" s="40"/>
    </row>
    <row r="100" spans="22:178" s="34" customFormat="1">
      <c r="V100" s="40"/>
      <c r="CX100" s="45"/>
      <c r="CY100" s="45"/>
      <c r="CZ100" s="45"/>
      <c r="DA100" s="45"/>
      <c r="DB100" s="45"/>
      <c r="DC100" s="45"/>
      <c r="DD100" s="45"/>
      <c r="DE100" s="45"/>
      <c r="DF100" s="45"/>
      <c r="DG100" s="45"/>
      <c r="DH100" s="45"/>
      <c r="DI100" s="45"/>
      <c r="DJ100" s="45"/>
      <c r="DK100" s="47"/>
      <c r="DL100" s="47"/>
      <c r="DM100" s="47"/>
      <c r="DN100" s="47"/>
      <c r="DO100" s="47"/>
      <c r="DP100" s="47"/>
      <c r="DQ100" s="47"/>
      <c r="DR100" s="47"/>
      <c r="DS100" s="47"/>
      <c r="DT100" s="47"/>
      <c r="DU100" s="47"/>
      <c r="DV100" s="47"/>
      <c r="DW100" s="47"/>
      <c r="DX100" s="47"/>
      <c r="DY100" s="47"/>
      <c r="DZ100" s="47"/>
      <c r="EA100" s="47"/>
      <c r="EB100" s="47"/>
      <c r="EC100" s="47"/>
      <c r="ED100" s="47"/>
      <c r="EE100" s="47"/>
      <c r="EF100" s="47"/>
      <c r="EG100" s="47"/>
      <c r="EH100" s="47"/>
      <c r="EI100" s="40"/>
      <c r="EJ100" s="40"/>
      <c r="EK100" s="40"/>
      <c r="EL100" s="40"/>
      <c r="EM100" s="40"/>
      <c r="EN100" s="40"/>
      <c r="EO100" s="40"/>
      <c r="EP100" s="40"/>
      <c r="EQ100" s="40"/>
      <c r="ER100" s="40"/>
      <c r="ES100" s="40"/>
      <c r="ET100" s="40"/>
      <c r="EU100" s="40"/>
      <c r="EV100" s="40"/>
      <c r="EW100" s="40"/>
      <c r="EX100" s="40"/>
      <c r="EY100" s="40"/>
      <c r="EZ100" s="40"/>
      <c r="FA100" s="40"/>
      <c r="FB100" s="40"/>
      <c r="FC100" s="40"/>
      <c r="FD100" s="40"/>
      <c r="FE100" s="40"/>
      <c r="FF100" s="40"/>
      <c r="FG100" s="40"/>
      <c r="FH100" s="40"/>
      <c r="FI100" s="40"/>
      <c r="FJ100" s="40"/>
      <c r="FK100" s="40"/>
      <c r="FL100" s="40"/>
      <c r="FM100" s="40"/>
      <c r="FN100" s="40"/>
      <c r="FO100" s="40"/>
      <c r="FP100" s="40"/>
      <c r="FQ100" s="40"/>
      <c r="FR100" s="40"/>
      <c r="FS100" s="40"/>
      <c r="FT100" s="40"/>
      <c r="FU100" s="40"/>
      <c r="FV100" s="40"/>
    </row>
    <row r="101" spans="22:178" s="34" customFormat="1">
      <c r="V101" s="40"/>
      <c r="CX101" s="45"/>
      <c r="CY101" s="45"/>
      <c r="CZ101" s="45"/>
      <c r="DA101" s="45"/>
      <c r="DB101" s="45"/>
      <c r="DC101" s="45"/>
      <c r="DD101" s="45"/>
      <c r="DE101" s="45"/>
      <c r="DF101" s="45"/>
      <c r="DG101" s="45"/>
      <c r="DH101" s="45"/>
      <c r="DI101" s="45"/>
      <c r="DJ101" s="45"/>
      <c r="DK101" s="47"/>
      <c r="DL101" s="47"/>
      <c r="DM101" s="47"/>
      <c r="DN101" s="47"/>
      <c r="DO101" s="47"/>
      <c r="DP101" s="47"/>
      <c r="DQ101" s="47"/>
      <c r="DR101" s="47"/>
      <c r="DS101" s="47"/>
      <c r="DT101" s="47"/>
      <c r="DU101" s="47"/>
      <c r="DV101" s="47"/>
      <c r="DW101" s="47"/>
      <c r="DX101" s="47"/>
      <c r="DY101" s="47"/>
      <c r="DZ101" s="47"/>
      <c r="EA101" s="47"/>
      <c r="EB101" s="47"/>
      <c r="EC101" s="47"/>
      <c r="ED101" s="47"/>
      <c r="EE101" s="47"/>
      <c r="EF101" s="47"/>
      <c r="EG101" s="47"/>
      <c r="EH101" s="47"/>
      <c r="EI101" s="40"/>
      <c r="EJ101" s="40"/>
      <c r="EK101" s="40"/>
      <c r="EL101" s="40"/>
      <c r="EM101" s="40"/>
      <c r="EN101" s="40"/>
      <c r="EO101" s="40"/>
      <c r="EP101" s="40"/>
      <c r="EQ101" s="40"/>
      <c r="ER101" s="40"/>
      <c r="ES101" s="40"/>
      <c r="ET101" s="40"/>
      <c r="EU101" s="40"/>
      <c r="EV101" s="40"/>
      <c r="EW101" s="40"/>
      <c r="EX101" s="40"/>
      <c r="EY101" s="40"/>
      <c r="EZ101" s="40"/>
      <c r="FA101" s="40"/>
      <c r="FB101" s="40"/>
      <c r="FC101" s="40"/>
      <c r="FD101" s="40"/>
      <c r="FE101" s="40"/>
      <c r="FF101" s="40"/>
      <c r="FG101" s="40"/>
      <c r="FH101" s="40"/>
      <c r="FI101" s="40"/>
      <c r="FJ101" s="40"/>
      <c r="FK101" s="40"/>
      <c r="FL101" s="40"/>
      <c r="FM101" s="40"/>
      <c r="FN101" s="40"/>
      <c r="FO101" s="40"/>
      <c r="FP101" s="40"/>
      <c r="FQ101" s="40"/>
      <c r="FR101" s="40"/>
      <c r="FS101" s="40"/>
      <c r="FT101" s="40"/>
      <c r="FU101" s="40"/>
      <c r="FV101" s="40"/>
    </row>
    <row r="102" spans="22:178" s="34" customFormat="1">
      <c r="V102" s="40"/>
      <c r="CX102" s="45"/>
      <c r="CY102" s="45"/>
      <c r="CZ102" s="45"/>
      <c r="DA102" s="45"/>
      <c r="DB102" s="45"/>
      <c r="DC102" s="45"/>
      <c r="DD102" s="45"/>
      <c r="DE102" s="45"/>
      <c r="DF102" s="45"/>
      <c r="DG102" s="45"/>
      <c r="DH102" s="45"/>
      <c r="DI102" s="45"/>
      <c r="DJ102" s="45"/>
      <c r="DK102" s="47"/>
      <c r="DL102" s="47"/>
      <c r="DM102" s="47"/>
      <c r="DN102" s="47"/>
      <c r="DO102" s="47"/>
      <c r="DP102" s="47"/>
      <c r="DQ102" s="47"/>
      <c r="DR102" s="47"/>
      <c r="DS102" s="47"/>
      <c r="DT102" s="47"/>
      <c r="DU102" s="47"/>
      <c r="DV102" s="47"/>
      <c r="DW102" s="47"/>
      <c r="DX102" s="47"/>
      <c r="DY102" s="47"/>
      <c r="DZ102" s="47"/>
      <c r="EA102" s="47"/>
      <c r="EB102" s="47"/>
      <c r="EC102" s="47"/>
      <c r="ED102" s="47"/>
      <c r="EE102" s="47"/>
      <c r="EF102" s="47"/>
      <c r="EG102" s="47"/>
      <c r="EH102" s="47"/>
      <c r="EI102" s="40"/>
      <c r="EJ102" s="40"/>
      <c r="EK102" s="40"/>
      <c r="EL102" s="40"/>
      <c r="EM102" s="40"/>
      <c r="EN102" s="40"/>
      <c r="EO102" s="40"/>
      <c r="EP102" s="40"/>
      <c r="EQ102" s="40"/>
      <c r="ER102" s="40"/>
      <c r="ES102" s="40"/>
      <c r="ET102" s="40"/>
      <c r="EU102" s="40"/>
      <c r="EV102" s="40"/>
      <c r="EW102" s="40"/>
      <c r="EX102" s="40"/>
      <c r="EY102" s="40"/>
      <c r="EZ102" s="40"/>
      <c r="FA102" s="40"/>
      <c r="FB102" s="40"/>
      <c r="FC102" s="40"/>
      <c r="FD102" s="40"/>
      <c r="FE102" s="40"/>
      <c r="FF102" s="40"/>
      <c r="FG102" s="40"/>
      <c r="FH102" s="40"/>
      <c r="FI102" s="40"/>
      <c r="FJ102" s="40"/>
      <c r="FK102" s="40"/>
      <c r="FL102" s="40"/>
      <c r="FM102" s="40"/>
      <c r="FN102" s="40"/>
      <c r="FO102" s="40"/>
      <c r="FP102" s="40"/>
      <c r="FQ102" s="40"/>
      <c r="FR102" s="40"/>
      <c r="FS102" s="40"/>
      <c r="FT102" s="40"/>
      <c r="FU102" s="40"/>
      <c r="FV102" s="40"/>
    </row>
    <row r="103" spans="22:178" s="34" customFormat="1">
      <c r="V103" s="40"/>
      <c r="CX103" s="45"/>
      <c r="CY103" s="45"/>
      <c r="CZ103" s="45"/>
      <c r="DA103" s="45"/>
      <c r="DB103" s="45"/>
      <c r="DC103" s="45"/>
      <c r="DD103" s="45"/>
      <c r="DE103" s="45"/>
      <c r="DF103" s="45"/>
      <c r="DG103" s="45"/>
      <c r="DH103" s="45"/>
      <c r="DI103" s="45"/>
      <c r="DJ103" s="45"/>
      <c r="DK103" s="47"/>
      <c r="DL103" s="47"/>
      <c r="DM103" s="47"/>
      <c r="DN103" s="47"/>
      <c r="DO103" s="47"/>
      <c r="DP103" s="47"/>
      <c r="DQ103" s="47"/>
      <c r="DR103" s="47"/>
      <c r="DS103" s="47"/>
      <c r="DT103" s="47"/>
      <c r="DU103" s="47"/>
      <c r="DV103" s="47"/>
      <c r="DW103" s="47"/>
      <c r="DX103" s="47"/>
      <c r="DY103" s="47"/>
      <c r="DZ103" s="47"/>
      <c r="EA103" s="47"/>
      <c r="EB103" s="47"/>
      <c r="EC103" s="47"/>
      <c r="ED103" s="47"/>
      <c r="EE103" s="47"/>
      <c r="EF103" s="47"/>
      <c r="EG103" s="47"/>
      <c r="EH103" s="47"/>
      <c r="EI103" s="40"/>
      <c r="EJ103" s="40"/>
      <c r="EK103" s="40"/>
      <c r="EL103" s="40"/>
      <c r="EM103" s="40"/>
      <c r="EN103" s="40"/>
      <c r="EO103" s="40"/>
      <c r="EP103" s="40"/>
      <c r="EQ103" s="40"/>
      <c r="ER103" s="40"/>
      <c r="ES103" s="40"/>
      <c r="ET103" s="40"/>
      <c r="EU103" s="40"/>
      <c r="EV103" s="40"/>
      <c r="EW103" s="40"/>
      <c r="EX103" s="40"/>
      <c r="EY103" s="40"/>
      <c r="EZ103" s="40"/>
      <c r="FA103" s="40"/>
      <c r="FB103" s="40"/>
      <c r="FC103" s="40"/>
      <c r="FD103" s="40"/>
      <c r="FE103" s="40"/>
      <c r="FF103" s="40"/>
      <c r="FG103" s="40"/>
      <c r="FH103" s="40"/>
      <c r="FI103" s="40"/>
      <c r="FJ103" s="40"/>
      <c r="FK103" s="40"/>
      <c r="FL103" s="40"/>
      <c r="FM103" s="40"/>
      <c r="FN103" s="40"/>
      <c r="FO103" s="40"/>
      <c r="FP103" s="40"/>
      <c r="FQ103" s="40"/>
      <c r="FR103" s="40"/>
      <c r="FS103" s="40"/>
      <c r="FT103" s="40"/>
      <c r="FU103" s="40"/>
      <c r="FV103" s="40"/>
    </row>
    <row r="104" spans="22:178" s="34" customFormat="1">
      <c r="V104" s="40"/>
      <c r="CX104" s="45"/>
      <c r="CY104" s="45"/>
      <c r="CZ104" s="45"/>
      <c r="DA104" s="45"/>
      <c r="DB104" s="45"/>
      <c r="DC104" s="45"/>
      <c r="DD104" s="45"/>
      <c r="DE104" s="45"/>
      <c r="DF104" s="45"/>
      <c r="DG104" s="45"/>
      <c r="DH104" s="45"/>
      <c r="DI104" s="45"/>
      <c r="DJ104" s="45"/>
      <c r="DK104" s="47"/>
      <c r="DL104" s="47"/>
      <c r="DM104" s="47"/>
      <c r="DN104" s="47"/>
      <c r="DO104" s="47"/>
      <c r="DP104" s="47"/>
      <c r="DQ104" s="47"/>
      <c r="DR104" s="47"/>
      <c r="DS104" s="47"/>
      <c r="DT104" s="47"/>
      <c r="DU104" s="47"/>
      <c r="DV104" s="47"/>
      <c r="DW104" s="47"/>
      <c r="DX104" s="47"/>
      <c r="DY104" s="47"/>
      <c r="DZ104" s="47"/>
      <c r="EA104" s="47"/>
      <c r="EB104" s="47"/>
      <c r="EC104" s="47"/>
      <c r="ED104" s="47"/>
      <c r="EE104" s="47"/>
      <c r="EF104" s="47"/>
      <c r="EG104" s="47"/>
      <c r="EH104" s="47"/>
      <c r="EI104" s="40"/>
      <c r="EJ104" s="40"/>
      <c r="EK104" s="40"/>
      <c r="EL104" s="40"/>
      <c r="EM104" s="40"/>
      <c r="EN104" s="40"/>
      <c r="EO104" s="40"/>
      <c r="EP104" s="40"/>
      <c r="EQ104" s="40"/>
      <c r="ER104" s="40"/>
      <c r="ES104" s="40"/>
      <c r="ET104" s="40"/>
      <c r="EU104" s="40"/>
      <c r="EV104" s="40"/>
      <c r="EW104" s="40"/>
      <c r="EX104" s="40"/>
      <c r="EY104" s="40"/>
      <c r="EZ104" s="40"/>
      <c r="FA104" s="40"/>
      <c r="FB104" s="40"/>
      <c r="FC104" s="40"/>
      <c r="FD104" s="40"/>
      <c r="FE104" s="40"/>
      <c r="FF104" s="40"/>
      <c r="FG104" s="40"/>
      <c r="FH104" s="40"/>
      <c r="FI104" s="40"/>
      <c r="FJ104" s="40"/>
      <c r="FK104" s="40"/>
      <c r="FL104" s="40"/>
      <c r="FM104" s="40"/>
      <c r="FN104" s="40"/>
      <c r="FO104" s="40"/>
      <c r="FP104" s="40"/>
      <c r="FQ104" s="40"/>
      <c r="FR104" s="40"/>
      <c r="FS104" s="40"/>
      <c r="FT104" s="40"/>
      <c r="FU104" s="40"/>
      <c r="FV104" s="40"/>
    </row>
    <row r="105" spans="22:178" s="34" customFormat="1">
      <c r="V105" s="40"/>
      <c r="CX105" s="45"/>
      <c r="CY105" s="45"/>
      <c r="CZ105" s="45"/>
      <c r="DA105" s="45"/>
      <c r="DB105" s="45"/>
      <c r="DC105" s="45"/>
      <c r="DD105" s="45"/>
      <c r="DE105" s="45"/>
      <c r="DF105" s="45"/>
      <c r="DG105" s="45"/>
      <c r="DH105" s="45"/>
      <c r="DI105" s="45"/>
      <c r="DJ105" s="45"/>
      <c r="DK105" s="47"/>
      <c r="DL105" s="47"/>
      <c r="DM105" s="47"/>
      <c r="DN105" s="47"/>
      <c r="DO105" s="47"/>
      <c r="DP105" s="47"/>
      <c r="DQ105" s="47"/>
      <c r="DR105" s="47"/>
      <c r="DS105" s="47"/>
      <c r="DT105" s="47"/>
      <c r="DU105" s="47"/>
      <c r="DV105" s="47"/>
      <c r="DW105" s="47"/>
      <c r="DX105" s="47"/>
      <c r="DY105" s="47"/>
      <c r="DZ105" s="47"/>
      <c r="EA105" s="47"/>
      <c r="EB105" s="47"/>
      <c r="EC105" s="47"/>
      <c r="ED105" s="47"/>
      <c r="EE105" s="47"/>
      <c r="EF105" s="47"/>
      <c r="EG105" s="47"/>
      <c r="EH105" s="47"/>
      <c r="EI105" s="40"/>
      <c r="EJ105" s="40"/>
      <c r="EK105" s="40"/>
      <c r="EL105" s="40"/>
      <c r="EM105" s="40"/>
      <c r="EN105" s="40"/>
      <c r="EO105" s="40"/>
      <c r="EP105" s="40"/>
      <c r="EQ105" s="40"/>
      <c r="ER105" s="40"/>
      <c r="ES105" s="40"/>
      <c r="ET105" s="40"/>
      <c r="EU105" s="40"/>
      <c r="EV105" s="40"/>
      <c r="EW105" s="40"/>
      <c r="EX105" s="40"/>
      <c r="EY105" s="40"/>
      <c r="EZ105" s="40"/>
      <c r="FA105" s="40"/>
      <c r="FB105" s="40"/>
      <c r="FC105" s="40"/>
      <c r="FD105" s="40"/>
      <c r="FE105" s="40"/>
      <c r="FF105" s="40"/>
      <c r="FG105" s="40"/>
      <c r="FH105" s="40"/>
      <c r="FI105" s="40"/>
      <c r="FJ105" s="40"/>
      <c r="FK105" s="40"/>
      <c r="FL105" s="40"/>
      <c r="FM105" s="40"/>
      <c r="FN105" s="40"/>
      <c r="FO105" s="40"/>
      <c r="FP105" s="40"/>
      <c r="FQ105" s="40"/>
      <c r="FR105" s="40"/>
      <c r="FS105" s="40"/>
      <c r="FT105" s="40"/>
      <c r="FU105" s="40"/>
      <c r="FV105" s="40"/>
    </row>
    <row r="106" spans="22:178" s="34" customFormat="1">
      <c r="V106" s="40"/>
      <c r="CX106" s="45"/>
      <c r="CY106" s="45"/>
      <c r="CZ106" s="45"/>
      <c r="DA106" s="45"/>
      <c r="DB106" s="45"/>
      <c r="DC106" s="45"/>
      <c r="DD106" s="45"/>
      <c r="DE106" s="45"/>
      <c r="DF106" s="45"/>
      <c r="DG106" s="45"/>
      <c r="DH106" s="45"/>
      <c r="DI106" s="45"/>
      <c r="DJ106" s="45"/>
      <c r="DK106" s="47"/>
      <c r="DL106" s="47"/>
      <c r="DM106" s="47"/>
      <c r="DN106" s="47"/>
      <c r="DO106" s="47"/>
      <c r="DP106" s="47"/>
      <c r="DQ106" s="47"/>
      <c r="DR106" s="47"/>
      <c r="DS106" s="47"/>
      <c r="DT106" s="47"/>
      <c r="DU106" s="47"/>
      <c r="DV106" s="47"/>
      <c r="DW106" s="47"/>
      <c r="DX106" s="47"/>
      <c r="DY106" s="47"/>
      <c r="DZ106" s="47"/>
      <c r="EA106" s="47"/>
      <c r="EB106" s="47"/>
      <c r="EC106" s="47"/>
      <c r="ED106" s="47"/>
      <c r="EE106" s="47"/>
      <c r="EF106" s="47"/>
      <c r="EG106" s="47"/>
      <c r="EH106" s="47"/>
      <c r="EI106" s="40"/>
      <c r="EJ106" s="40"/>
      <c r="EK106" s="40"/>
      <c r="EL106" s="40"/>
      <c r="EM106" s="40"/>
      <c r="EN106" s="40"/>
      <c r="EO106" s="40"/>
      <c r="EP106" s="40"/>
      <c r="EQ106" s="40"/>
      <c r="ER106" s="40"/>
      <c r="ES106" s="40"/>
      <c r="ET106" s="40"/>
      <c r="EU106" s="40"/>
      <c r="EV106" s="40"/>
      <c r="EW106" s="40"/>
      <c r="EX106" s="40"/>
      <c r="EY106" s="40"/>
      <c r="EZ106" s="40"/>
      <c r="FA106" s="40"/>
      <c r="FB106" s="40"/>
      <c r="FC106" s="40"/>
      <c r="FD106" s="40"/>
      <c r="FE106" s="40"/>
      <c r="FF106" s="40"/>
      <c r="FG106" s="40"/>
      <c r="FH106" s="40"/>
      <c r="FI106" s="40"/>
      <c r="FJ106" s="40"/>
      <c r="FK106" s="40"/>
      <c r="FL106" s="40"/>
      <c r="FM106" s="40"/>
      <c r="FN106" s="40"/>
      <c r="FO106" s="40"/>
      <c r="FP106" s="40"/>
      <c r="FQ106" s="40"/>
      <c r="FR106" s="40"/>
      <c r="FS106" s="40"/>
      <c r="FT106" s="40"/>
      <c r="FU106" s="40"/>
      <c r="FV106" s="40"/>
    </row>
    <row r="107" spans="22:178" s="34" customFormat="1">
      <c r="V107" s="40"/>
      <c r="CX107" s="45"/>
      <c r="CY107" s="45"/>
      <c r="CZ107" s="45"/>
      <c r="DA107" s="45"/>
      <c r="DB107" s="45"/>
      <c r="DC107" s="45"/>
      <c r="DD107" s="45"/>
      <c r="DE107" s="45"/>
      <c r="DF107" s="45"/>
      <c r="DG107" s="45"/>
      <c r="DH107" s="45"/>
      <c r="DI107" s="45"/>
      <c r="DJ107" s="45"/>
      <c r="DK107" s="47"/>
      <c r="DL107" s="47"/>
      <c r="DM107" s="47"/>
      <c r="DN107" s="47"/>
      <c r="DO107" s="47"/>
      <c r="DP107" s="47"/>
      <c r="DQ107" s="47"/>
      <c r="DR107" s="47"/>
      <c r="DS107" s="47"/>
      <c r="DT107" s="47"/>
      <c r="DU107" s="47"/>
      <c r="DV107" s="47"/>
      <c r="DW107" s="47"/>
      <c r="DX107" s="47"/>
      <c r="DY107" s="47"/>
      <c r="DZ107" s="47"/>
      <c r="EA107" s="47"/>
      <c r="EB107" s="47"/>
      <c r="EC107" s="47"/>
      <c r="ED107" s="47"/>
      <c r="EE107" s="47"/>
      <c r="EF107" s="47"/>
      <c r="EG107" s="47"/>
      <c r="EH107" s="47"/>
      <c r="EI107" s="40"/>
      <c r="EJ107" s="40"/>
      <c r="EK107" s="40"/>
      <c r="EL107" s="40"/>
      <c r="EM107" s="40"/>
      <c r="EN107" s="40"/>
      <c r="EO107" s="40"/>
      <c r="EP107" s="40"/>
      <c r="EQ107" s="40"/>
      <c r="ER107" s="40"/>
      <c r="ES107" s="40"/>
      <c r="ET107" s="40"/>
      <c r="EU107" s="40"/>
      <c r="EV107" s="40"/>
      <c r="EW107" s="40"/>
      <c r="EX107" s="40"/>
      <c r="EY107" s="40"/>
      <c r="EZ107" s="40"/>
      <c r="FA107" s="40"/>
      <c r="FB107" s="40"/>
      <c r="FC107" s="40"/>
      <c r="FD107" s="40"/>
      <c r="FE107" s="40"/>
      <c r="FF107" s="40"/>
      <c r="FG107" s="40"/>
      <c r="FH107" s="40"/>
      <c r="FI107" s="40"/>
      <c r="FJ107" s="40"/>
      <c r="FK107" s="40"/>
      <c r="FL107" s="40"/>
      <c r="FM107" s="40"/>
      <c r="FN107" s="40"/>
      <c r="FO107" s="40"/>
      <c r="FP107" s="40"/>
      <c r="FQ107" s="40"/>
      <c r="FR107" s="40"/>
      <c r="FS107" s="40"/>
      <c r="FT107" s="40"/>
      <c r="FU107" s="40"/>
      <c r="FV107" s="40"/>
    </row>
    <row r="108" spans="22:178" s="34" customFormat="1">
      <c r="V108" s="40"/>
      <c r="CX108" s="45"/>
      <c r="CY108" s="45"/>
      <c r="CZ108" s="45"/>
      <c r="DA108" s="45"/>
      <c r="DB108" s="45"/>
      <c r="DC108" s="45"/>
      <c r="DD108" s="45"/>
      <c r="DE108" s="45"/>
      <c r="DF108" s="45"/>
      <c r="DG108" s="45"/>
      <c r="DH108" s="45"/>
      <c r="DI108" s="45"/>
      <c r="DJ108" s="45"/>
      <c r="DK108" s="47"/>
      <c r="DL108" s="47"/>
      <c r="DM108" s="47"/>
      <c r="DN108" s="47"/>
      <c r="DO108" s="47"/>
      <c r="DP108" s="47"/>
      <c r="DQ108" s="47"/>
      <c r="DR108" s="47"/>
      <c r="DS108" s="47"/>
      <c r="DT108" s="47"/>
      <c r="DU108" s="47"/>
      <c r="DV108" s="47"/>
      <c r="DW108" s="47"/>
      <c r="DX108" s="47"/>
      <c r="DY108" s="47"/>
      <c r="DZ108" s="47"/>
      <c r="EA108" s="47"/>
      <c r="EB108" s="47"/>
      <c r="EC108" s="47"/>
      <c r="ED108" s="47"/>
      <c r="EE108" s="47"/>
      <c r="EF108" s="47"/>
      <c r="EG108" s="47"/>
      <c r="EH108" s="47"/>
      <c r="EI108" s="40"/>
      <c r="EJ108" s="40"/>
      <c r="EK108" s="40"/>
      <c r="EL108" s="40"/>
      <c r="EM108" s="40"/>
      <c r="EN108" s="40"/>
      <c r="EO108" s="40"/>
      <c r="EP108" s="40"/>
      <c r="EQ108" s="40"/>
      <c r="ER108" s="40"/>
      <c r="ES108" s="40"/>
      <c r="ET108" s="40"/>
      <c r="EU108" s="40"/>
      <c r="EV108" s="40"/>
      <c r="EW108" s="40"/>
      <c r="EX108" s="40"/>
      <c r="EY108" s="40"/>
      <c r="EZ108" s="40"/>
      <c r="FA108" s="40"/>
      <c r="FB108" s="40"/>
      <c r="FC108" s="40"/>
      <c r="FD108" s="40"/>
      <c r="FE108" s="40"/>
      <c r="FF108" s="40"/>
      <c r="FG108" s="40"/>
      <c r="FH108" s="40"/>
      <c r="FI108" s="40"/>
      <c r="FJ108" s="40"/>
      <c r="FK108" s="40"/>
      <c r="FL108" s="40"/>
      <c r="FM108" s="40"/>
      <c r="FN108" s="40"/>
      <c r="FO108" s="40"/>
      <c r="FP108" s="40"/>
      <c r="FQ108" s="40"/>
      <c r="FR108" s="40"/>
      <c r="FS108" s="40"/>
      <c r="FT108" s="40"/>
      <c r="FU108" s="40"/>
      <c r="FV108" s="40"/>
    </row>
    <row r="109" spans="22:178" s="34" customFormat="1">
      <c r="V109" s="40"/>
      <c r="CX109" s="45"/>
      <c r="CY109" s="45"/>
      <c r="CZ109" s="45"/>
      <c r="DA109" s="45"/>
      <c r="DB109" s="45"/>
      <c r="DC109" s="45"/>
      <c r="DD109" s="45"/>
      <c r="DE109" s="45"/>
      <c r="DF109" s="45"/>
      <c r="DG109" s="45"/>
      <c r="DH109" s="45"/>
      <c r="DI109" s="45"/>
      <c r="DJ109" s="45"/>
      <c r="DK109" s="47"/>
      <c r="DL109" s="47"/>
      <c r="DM109" s="47"/>
      <c r="DN109" s="47"/>
      <c r="DO109" s="47"/>
      <c r="DP109" s="47"/>
      <c r="DQ109" s="47"/>
      <c r="DR109" s="47"/>
      <c r="DS109" s="47"/>
      <c r="DT109" s="47"/>
      <c r="DU109" s="47"/>
      <c r="DV109" s="47"/>
      <c r="DW109" s="47"/>
      <c r="DX109" s="47"/>
      <c r="DY109" s="47"/>
      <c r="DZ109" s="47"/>
      <c r="EA109" s="47"/>
      <c r="EB109" s="47"/>
      <c r="EC109" s="47"/>
      <c r="ED109" s="47"/>
      <c r="EE109" s="47"/>
      <c r="EF109" s="47"/>
      <c r="EG109" s="47"/>
      <c r="EH109" s="47"/>
      <c r="EI109" s="40"/>
      <c r="EJ109" s="40"/>
      <c r="EK109" s="40"/>
      <c r="EL109" s="40"/>
      <c r="EM109" s="40"/>
      <c r="EN109" s="40"/>
      <c r="EO109" s="40"/>
      <c r="EP109" s="40"/>
      <c r="EQ109" s="40"/>
      <c r="ER109" s="40"/>
      <c r="ES109" s="40"/>
      <c r="ET109" s="40"/>
      <c r="EU109" s="40"/>
      <c r="EV109" s="40"/>
      <c r="EW109" s="40"/>
      <c r="EX109" s="40"/>
      <c r="EY109" s="40"/>
      <c r="EZ109" s="40"/>
      <c r="FA109" s="40"/>
      <c r="FB109" s="40"/>
      <c r="FC109" s="40"/>
      <c r="FD109" s="40"/>
      <c r="FE109" s="40"/>
      <c r="FF109" s="40"/>
      <c r="FG109" s="40"/>
      <c r="FH109" s="40"/>
      <c r="FI109" s="40"/>
      <c r="FJ109" s="40"/>
      <c r="FK109" s="40"/>
      <c r="FL109" s="40"/>
      <c r="FM109" s="40"/>
      <c r="FN109" s="40"/>
      <c r="FO109" s="40"/>
      <c r="FP109" s="40"/>
      <c r="FQ109" s="40"/>
      <c r="FR109" s="40"/>
      <c r="FS109" s="40"/>
      <c r="FT109" s="40"/>
      <c r="FU109" s="40"/>
      <c r="FV109" s="40"/>
    </row>
    <row r="110" spans="22:178" s="34" customFormat="1">
      <c r="V110" s="40"/>
      <c r="CX110" s="45"/>
      <c r="CY110" s="45"/>
      <c r="CZ110" s="45"/>
      <c r="DA110" s="45"/>
      <c r="DB110" s="45"/>
      <c r="DC110" s="45"/>
      <c r="DD110" s="45"/>
      <c r="DE110" s="45"/>
      <c r="DF110" s="45"/>
      <c r="DG110" s="45"/>
      <c r="DH110" s="45"/>
      <c r="DI110" s="45"/>
      <c r="DJ110" s="45"/>
      <c r="DK110" s="47"/>
      <c r="DL110" s="47"/>
      <c r="DM110" s="47"/>
      <c r="DN110" s="47"/>
      <c r="DO110" s="47"/>
      <c r="DP110" s="47"/>
      <c r="DQ110" s="47"/>
      <c r="DR110" s="47"/>
      <c r="DS110" s="47"/>
      <c r="DT110" s="47"/>
      <c r="DU110" s="47"/>
      <c r="DV110" s="47"/>
      <c r="DW110" s="47"/>
      <c r="DX110" s="47"/>
      <c r="DY110" s="47"/>
      <c r="DZ110" s="47"/>
      <c r="EA110" s="47"/>
      <c r="EB110" s="47"/>
      <c r="EC110" s="47"/>
      <c r="ED110" s="47"/>
      <c r="EE110" s="47"/>
      <c r="EF110" s="47"/>
      <c r="EG110" s="47"/>
      <c r="EH110" s="47"/>
      <c r="EI110" s="40"/>
      <c r="EJ110" s="40"/>
      <c r="EK110" s="40"/>
      <c r="EL110" s="40"/>
      <c r="EM110" s="40"/>
      <c r="EN110" s="40"/>
      <c r="EO110" s="40"/>
      <c r="EP110" s="40"/>
      <c r="EQ110" s="40"/>
      <c r="ER110" s="40"/>
      <c r="ES110" s="40"/>
      <c r="ET110" s="40"/>
      <c r="EU110" s="40"/>
      <c r="EV110" s="40"/>
      <c r="EW110" s="40"/>
      <c r="EX110" s="40"/>
      <c r="EY110" s="40"/>
      <c r="EZ110" s="40"/>
      <c r="FA110" s="40"/>
      <c r="FB110" s="40"/>
      <c r="FC110" s="40"/>
      <c r="FD110" s="40"/>
      <c r="FE110" s="40"/>
      <c r="FF110" s="40"/>
      <c r="FG110" s="40"/>
      <c r="FH110" s="40"/>
      <c r="FI110" s="40"/>
      <c r="FJ110" s="40"/>
      <c r="FK110" s="40"/>
      <c r="FL110" s="40"/>
      <c r="FM110" s="40"/>
      <c r="FN110" s="40"/>
      <c r="FO110" s="40"/>
      <c r="FP110" s="40"/>
      <c r="FQ110" s="40"/>
      <c r="FR110" s="40"/>
      <c r="FS110" s="40"/>
      <c r="FT110" s="40"/>
      <c r="FU110" s="40"/>
      <c r="FV110" s="40"/>
    </row>
    <row r="111" spans="22:178" s="34" customFormat="1">
      <c r="V111" s="40"/>
      <c r="CX111" s="45"/>
      <c r="CY111" s="45"/>
      <c r="CZ111" s="45"/>
      <c r="DA111" s="45"/>
      <c r="DB111" s="45"/>
      <c r="DC111" s="45"/>
      <c r="DD111" s="45"/>
      <c r="DE111" s="45"/>
      <c r="DF111" s="45"/>
      <c r="DG111" s="45"/>
      <c r="DH111" s="45"/>
      <c r="DI111" s="45"/>
      <c r="DJ111" s="45"/>
      <c r="DK111" s="47"/>
      <c r="DL111" s="47"/>
      <c r="DM111" s="47"/>
      <c r="DN111" s="47"/>
      <c r="DO111" s="47"/>
      <c r="DP111" s="47"/>
      <c r="DQ111" s="47"/>
      <c r="DR111" s="47"/>
      <c r="DS111" s="47"/>
      <c r="DT111" s="47"/>
      <c r="DU111" s="47"/>
      <c r="DV111" s="47"/>
      <c r="DW111" s="47"/>
      <c r="DX111" s="47"/>
      <c r="DY111" s="47"/>
      <c r="DZ111" s="47"/>
      <c r="EA111" s="47"/>
      <c r="EB111" s="47"/>
      <c r="EC111" s="47"/>
      <c r="ED111" s="47"/>
      <c r="EE111" s="47"/>
      <c r="EF111" s="47"/>
      <c r="EG111" s="47"/>
      <c r="EH111" s="47"/>
      <c r="EI111" s="40"/>
      <c r="EJ111" s="40"/>
      <c r="EK111" s="40"/>
      <c r="EL111" s="40"/>
      <c r="EM111" s="40"/>
      <c r="EN111" s="40"/>
      <c r="EO111" s="40"/>
      <c r="EP111" s="40"/>
      <c r="EQ111" s="40"/>
      <c r="ER111" s="40"/>
      <c r="ES111" s="40"/>
      <c r="ET111" s="40"/>
      <c r="EU111" s="40"/>
      <c r="EV111" s="40"/>
      <c r="EW111" s="40"/>
      <c r="EX111" s="40"/>
      <c r="EY111" s="40"/>
      <c r="EZ111" s="40"/>
      <c r="FA111" s="40"/>
      <c r="FB111" s="40"/>
      <c r="FC111" s="40"/>
      <c r="FD111" s="40"/>
      <c r="FE111" s="40"/>
      <c r="FF111" s="40"/>
      <c r="FG111" s="40"/>
      <c r="FH111" s="40"/>
      <c r="FI111" s="40"/>
      <c r="FJ111" s="40"/>
      <c r="FK111" s="40"/>
      <c r="FL111" s="40"/>
      <c r="FM111" s="40"/>
      <c r="FN111" s="40"/>
      <c r="FO111" s="40"/>
      <c r="FP111" s="40"/>
      <c r="FQ111" s="40"/>
      <c r="FR111" s="40"/>
      <c r="FS111" s="40"/>
      <c r="FT111" s="40"/>
      <c r="FU111" s="40"/>
      <c r="FV111" s="40"/>
    </row>
    <row r="112" spans="22:178" s="34" customFormat="1">
      <c r="V112" s="40"/>
      <c r="CX112" s="45"/>
      <c r="CY112" s="45"/>
      <c r="CZ112" s="45"/>
      <c r="DA112" s="45"/>
      <c r="DB112" s="45"/>
      <c r="DC112" s="45"/>
      <c r="DD112" s="45"/>
      <c r="DE112" s="45"/>
      <c r="DF112" s="45"/>
      <c r="DG112" s="45"/>
      <c r="DH112" s="45"/>
      <c r="DI112" s="45"/>
      <c r="DJ112" s="45"/>
      <c r="DK112" s="47"/>
      <c r="DL112" s="47"/>
      <c r="DM112" s="47"/>
      <c r="DN112" s="47"/>
      <c r="DO112" s="47"/>
      <c r="DP112" s="47"/>
      <c r="DQ112" s="47"/>
      <c r="DR112" s="47"/>
      <c r="DS112" s="47"/>
      <c r="DT112" s="47"/>
      <c r="DU112" s="47"/>
      <c r="DV112" s="47"/>
      <c r="DW112" s="47"/>
      <c r="DX112" s="47"/>
      <c r="DY112" s="47"/>
      <c r="DZ112" s="47"/>
      <c r="EA112" s="47"/>
      <c r="EB112" s="47"/>
      <c r="EC112" s="47"/>
      <c r="ED112" s="47"/>
      <c r="EE112" s="47"/>
      <c r="EF112" s="47"/>
      <c r="EG112" s="47"/>
      <c r="EH112" s="47"/>
      <c r="EI112" s="40"/>
      <c r="EJ112" s="40"/>
      <c r="EK112" s="40"/>
      <c r="EL112" s="40"/>
      <c r="EM112" s="40"/>
      <c r="EN112" s="40"/>
      <c r="EO112" s="40"/>
      <c r="EP112" s="40"/>
      <c r="EQ112" s="40"/>
      <c r="ER112" s="40"/>
      <c r="ES112" s="40"/>
      <c r="ET112" s="40"/>
      <c r="EU112" s="40"/>
      <c r="EV112" s="40"/>
      <c r="EW112" s="40"/>
      <c r="EX112" s="40"/>
      <c r="EY112" s="40"/>
      <c r="EZ112" s="40"/>
      <c r="FA112" s="40"/>
      <c r="FB112" s="40"/>
      <c r="FC112" s="40"/>
      <c r="FD112" s="40"/>
      <c r="FE112" s="40"/>
      <c r="FF112" s="40"/>
      <c r="FG112" s="40"/>
      <c r="FH112" s="40"/>
      <c r="FI112" s="40"/>
      <c r="FJ112" s="40"/>
      <c r="FK112" s="40"/>
      <c r="FL112" s="40"/>
      <c r="FM112" s="40"/>
      <c r="FN112" s="40"/>
      <c r="FO112" s="40"/>
      <c r="FP112" s="40"/>
      <c r="FQ112" s="40"/>
      <c r="FR112" s="40"/>
      <c r="FS112" s="40"/>
      <c r="FT112" s="40"/>
      <c r="FU112" s="40"/>
      <c r="FV112" s="40"/>
    </row>
    <row r="113" spans="22:178" s="34" customFormat="1">
      <c r="V113" s="40"/>
      <c r="CX113" s="45"/>
      <c r="CY113" s="45"/>
      <c r="CZ113" s="45"/>
      <c r="DA113" s="45"/>
      <c r="DB113" s="45"/>
      <c r="DC113" s="45"/>
      <c r="DD113" s="45"/>
      <c r="DE113" s="45"/>
      <c r="DF113" s="45"/>
      <c r="DG113" s="45"/>
      <c r="DH113" s="45"/>
      <c r="DI113" s="45"/>
      <c r="DJ113" s="45"/>
      <c r="DK113" s="47"/>
      <c r="DL113" s="47"/>
      <c r="DM113" s="47"/>
      <c r="DN113" s="47"/>
      <c r="DO113" s="47"/>
      <c r="DP113" s="47"/>
      <c r="DQ113" s="47"/>
      <c r="DR113" s="47"/>
      <c r="DS113" s="47"/>
      <c r="DT113" s="47"/>
      <c r="DU113" s="47"/>
      <c r="DV113" s="47"/>
      <c r="DW113" s="47"/>
      <c r="DX113" s="47"/>
      <c r="DY113" s="47"/>
      <c r="DZ113" s="47"/>
      <c r="EA113" s="47"/>
      <c r="EB113" s="47"/>
      <c r="EC113" s="47"/>
      <c r="ED113" s="47"/>
      <c r="EE113" s="47"/>
      <c r="EF113" s="47"/>
      <c r="EG113" s="47"/>
      <c r="EH113" s="47"/>
      <c r="EI113" s="40"/>
      <c r="EJ113" s="40"/>
      <c r="EK113" s="40"/>
      <c r="EL113" s="40"/>
      <c r="EM113" s="40"/>
      <c r="EN113" s="40"/>
      <c r="EO113" s="40"/>
      <c r="EP113" s="40"/>
      <c r="EQ113" s="40"/>
      <c r="ER113" s="40"/>
      <c r="ES113" s="40"/>
      <c r="ET113" s="40"/>
      <c r="EU113" s="40"/>
      <c r="EV113" s="40"/>
      <c r="EW113" s="40"/>
      <c r="EX113" s="40"/>
      <c r="EY113" s="40"/>
      <c r="EZ113" s="40"/>
      <c r="FA113" s="40"/>
      <c r="FB113" s="40"/>
      <c r="FC113" s="40"/>
      <c r="FD113" s="40"/>
      <c r="FE113" s="40"/>
      <c r="FF113" s="40"/>
      <c r="FG113" s="40"/>
      <c r="FH113" s="40"/>
      <c r="FI113" s="40"/>
      <c r="FJ113" s="40"/>
      <c r="FK113" s="40"/>
      <c r="FL113" s="40"/>
      <c r="FM113" s="40"/>
      <c r="FN113" s="40"/>
      <c r="FO113" s="40"/>
      <c r="FP113" s="40"/>
      <c r="FQ113" s="40"/>
      <c r="FR113" s="40"/>
      <c r="FS113" s="40"/>
      <c r="FT113" s="40"/>
      <c r="FU113" s="40"/>
      <c r="FV113" s="40"/>
    </row>
    <row r="114" spans="22:178" s="34" customFormat="1">
      <c r="V114" s="40"/>
      <c r="CX114" s="45"/>
      <c r="CY114" s="45"/>
      <c r="CZ114" s="45"/>
      <c r="DA114" s="45"/>
      <c r="DB114" s="45"/>
      <c r="DC114" s="45"/>
      <c r="DD114" s="45"/>
      <c r="DE114" s="45"/>
      <c r="DF114" s="45"/>
      <c r="DG114" s="45"/>
      <c r="DH114" s="45"/>
      <c r="DI114" s="45"/>
      <c r="DJ114" s="45"/>
      <c r="DK114" s="47"/>
      <c r="DL114" s="47"/>
      <c r="DM114" s="47"/>
      <c r="DN114" s="47"/>
      <c r="DO114" s="47"/>
      <c r="DP114" s="47"/>
      <c r="DQ114" s="47"/>
      <c r="DR114" s="47"/>
      <c r="DS114" s="47"/>
      <c r="DT114" s="47"/>
      <c r="DU114" s="47"/>
      <c r="DV114" s="47"/>
      <c r="DW114" s="47"/>
      <c r="DX114" s="47"/>
      <c r="DY114" s="47"/>
      <c r="DZ114" s="47"/>
      <c r="EA114" s="47"/>
      <c r="EB114" s="47"/>
      <c r="EC114" s="47"/>
      <c r="ED114" s="47"/>
      <c r="EE114" s="47"/>
      <c r="EF114" s="47"/>
      <c r="EG114" s="47"/>
      <c r="EH114" s="47"/>
      <c r="EI114" s="40"/>
      <c r="EJ114" s="40"/>
      <c r="EK114" s="40"/>
      <c r="EL114" s="40"/>
      <c r="EM114" s="40"/>
      <c r="EN114" s="40"/>
      <c r="EO114" s="40"/>
      <c r="EP114" s="40"/>
      <c r="EQ114" s="40"/>
      <c r="ER114" s="40"/>
      <c r="ES114" s="40"/>
      <c r="ET114" s="40"/>
      <c r="EU114" s="40"/>
      <c r="EV114" s="40"/>
      <c r="EW114" s="40"/>
      <c r="EX114" s="40"/>
      <c r="EY114" s="40"/>
      <c r="EZ114" s="40"/>
      <c r="FA114" s="40"/>
      <c r="FB114" s="40"/>
      <c r="FC114" s="40"/>
      <c r="FD114" s="40"/>
      <c r="FE114" s="40"/>
      <c r="FF114" s="40"/>
      <c r="FG114" s="40"/>
      <c r="FH114" s="40"/>
      <c r="FI114" s="40"/>
      <c r="FJ114" s="40"/>
      <c r="FK114" s="40"/>
      <c r="FL114" s="40"/>
      <c r="FM114" s="40"/>
      <c r="FN114" s="40"/>
      <c r="FO114" s="40"/>
      <c r="FP114" s="40"/>
      <c r="FQ114" s="40"/>
      <c r="FR114" s="40"/>
      <c r="FS114" s="40"/>
      <c r="FT114" s="40"/>
      <c r="FU114" s="40"/>
      <c r="FV114" s="40"/>
    </row>
    <row r="115" spans="22:178" s="34" customFormat="1">
      <c r="V115" s="40"/>
      <c r="CX115" s="45"/>
      <c r="CY115" s="45"/>
      <c r="CZ115" s="45"/>
      <c r="DA115" s="45"/>
      <c r="DB115" s="45"/>
      <c r="DC115" s="45"/>
      <c r="DD115" s="45"/>
      <c r="DE115" s="45"/>
      <c r="DF115" s="45"/>
      <c r="DG115" s="45"/>
      <c r="DH115" s="45"/>
      <c r="DI115" s="45"/>
      <c r="DJ115" s="45"/>
      <c r="DK115" s="47"/>
      <c r="DL115" s="47"/>
      <c r="DM115" s="47"/>
      <c r="DN115" s="47"/>
      <c r="DO115" s="47"/>
      <c r="DP115" s="47"/>
      <c r="DQ115" s="47"/>
      <c r="DR115" s="47"/>
      <c r="DS115" s="47"/>
      <c r="DT115" s="47"/>
      <c r="DU115" s="47"/>
      <c r="DV115" s="47"/>
      <c r="DW115" s="47"/>
      <c r="DX115" s="47"/>
      <c r="DY115" s="47"/>
      <c r="DZ115" s="47"/>
      <c r="EA115" s="47"/>
      <c r="EB115" s="47"/>
      <c r="EC115" s="47"/>
      <c r="ED115" s="47"/>
      <c r="EE115" s="47"/>
      <c r="EF115" s="47"/>
      <c r="EG115" s="47"/>
      <c r="EH115" s="47"/>
      <c r="EI115" s="40"/>
      <c r="EJ115" s="40"/>
      <c r="EK115" s="40"/>
      <c r="EL115" s="40"/>
      <c r="EM115" s="40"/>
      <c r="EN115" s="40"/>
      <c r="EO115" s="40"/>
      <c r="EP115" s="40"/>
      <c r="EQ115" s="40"/>
      <c r="ER115" s="40"/>
      <c r="ES115" s="40"/>
      <c r="ET115" s="40"/>
      <c r="EU115" s="40"/>
      <c r="EV115" s="40"/>
      <c r="EW115" s="40"/>
      <c r="EX115" s="40"/>
      <c r="EY115" s="40"/>
      <c r="EZ115" s="40"/>
      <c r="FA115" s="40"/>
      <c r="FB115" s="40"/>
      <c r="FC115" s="40"/>
      <c r="FD115" s="40"/>
      <c r="FE115" s="40"/>
      <c r="FF115" s="40"/>
      <c r="FG115" s="40"/>
      <c r="FH115" s="40"/>
      <c r="FI115" s="40"/>
      <c r="FJ115" s="40"/>
      <c r="FK115" s="40"/>
      <c r="FL115" s="40"/>
      <c r="FM115" s="40"/>
      <c r="FN115" s="40"/>
      <c r="FO115" s="40"/>
      <c r="FP115" s="40"/>
      <c r="FQ115" s="40"/>
      <c r="FR115" s="40"/>
      <c r="FS115" s="40"/>
      <c r="FT115" s="40"/>
      <c r="FU115" s="40"/>
      <c r="FV115" s="40"/>
    </row>
    <row r="116" spans="22:178" s="34" customFormat="1">
      <c r="V116" s="40"/>
      <c r="CX116" s="45"/>
      <c r="CY116" s="45"/>
      <c r="CZ116" s="45"/>
      <c r="DA116" s="45"/>
      <c r="DB116" s="45"/>
      <c r="DC116" s="45"/>
      <c r="DD116" s="45"/>
      <c r="DE116" s="45"/>
      <c r="DF116" s="45"/>
      <c r="DG116" s="45"/>
      <c r="DH116" s="45"/>
      <c r="DI116" s="45"/>
      <c r="DJ116" s="45"/>
      <c r="DK116" s="47"/>
      <c r="DL116" s="47"/>
      <c r="DM116" s="47"/>
      <c r="DN116" s="47"/>
      <c r="DO116" s="47"/>
      <c r="DP116" s="47"/>
      <c r="DQ116" s="47"/>
      <c r="DR116" s="47"/>
      <c r="DS116" s="47"/>
      <c r="DT116" s="47"/>
      <c r="DU116" s="47"/>
      <c r="DV116" s="47"/>
      <c r="DW116" s="47"/>
      <c r="DX116" s="47"/>
      <c r="DY116" s="47"/>
      <c r="DZ116" s="47"/>
      <c r="EA116" s="47"/>
      <c r="EB116" s="47"/>
      <c r="EC116" s="47"/>
      <c r="ED116" s="47"/>
      <c r="EE116" s="47"/>
      <c r="EF116" s="47"/>
      <c r="EG116" s="47"/>
      <c r="EH116" s="47"/>
      <c r="EI116" s="40"/>
      <c r="EJ116" s="40"/>
      <c r="EK116" s="40"/>
      <c r="EL116" s="40"/>
      <c r="EM116" s="40"/>
      <c r="EN116" s="40"/>
      <c r="EO116" s="40"/>
      <c r="EP116" s="40"/>
      <c r="EQ116" s="40"/>
      <c r="ER116" s="40"/>
      <c r="ES116" s="40"/>
      <c r="ET116" s="40"/>
      <c r="EU116" s="40"/>
      <c r="EV116" s="40"/>
      <c r="EW116" s="40"/>
      <c r="EX116" s="40"/>
      <c r="EY116" s="40"/>
      <c r="EZ116" s="40"/>
      <c r="FA116" s="40"/>
      <c r="FB116" s="40"/>
      <c r="FC116" s="40"/>
      <c r="FD116" s="40"/>
      <c r="FE116" s="40"/>
      <c r="FF116" s="40"/>
      <c r="FG116" s="40"/>
      <c r="FH116" s="40"/>
      <c r="FI116" s="40"/>
      <c r="FJ116" s="40"/>
      <c r="FK116" s="40"/>
      <c r="FL116" s="40"/>
      <c r="FM116" s="40"/>
      <c r="FN116" s="40"/>
      <c r="FO116" s="40"/>
      <c r="FP116" s="40"/>
      <c r="FQ116" s="40"/>
      <c r="FR116" s="40"/>
      <c r="FS116" s="40"/>
      <c r="FT116" s="40"/>
      <c r="FU116" s="40"/>
      <c r="FV116" s="40"/>
    </row>
    <row r="117" spans="22:178" s="34" customFormat="1">
      <c r="V117" s="40"/>
      <c r="CX117" s="45"/>
      <c r="CY117" s="45"/>
      <c r="CZ117" s="45"/>
      <c r="DA117" s="45"/>
      <c r="DB117" s="45"/>
      <c r="DC117" s="45"/>
      <c r="DD117" s="45"/>
      <c r="DE117" s="45"/>
      <c r="DF117" s="45"/>
      <c r="DG117" s="45"/>
      <c r="DH117" s="45"/>
      <c r="DI117" s="45"/>
      <c r="DJ117" s="45"/>
      <c r="DK117" s="47"/>
      <c r="DL117" s="47"/>
      <c r="DM117" s="47"/>
      <c r="DN117" s="47"/>
      <c r="DO117" s="47"/>
      <c r="DP117" s="47"/>
      <c r="DQ117" s="47"/>
      <c r="DR117" s="47"/>
      <c r="DS117" s="47"/>
      <c r="DT117" s="47"/>
      <c r="DU117" s="47"/>
      <c r="DV117" s="47"/>
      <c r="DW117" s="47"/>
      <c r="DX117" s="47"/>
      <c r="DY117" s="47"/>
      <c r="DZ117" s="47"/>
      <c r="EA117" s="47"/>
      <c r="EB117" s="47"/>
      <c r="EC117" s="47"/>
      <c r="ED117" s="47"/>
      <c r="EE117" s="47"/>
      <c r="EF117" s="47"/>
      <c r="EG117" s="47"/>
      <c r="EH117" s="47"/>
      <c r="EI117" s="40"/>
      <c r="EJ117" s="40"/>
      <c r="EK117" s="40"/>
      <c r="EL117" s="40"/>
      <c r="EM117" s="40"/>
      <c r="EN117" s="40"/>
      <c r="EO117" s="40"/>
      <c r="EP117" s="40"/>
      <c r="EQ117" s="40"/>
      <c r="ER117" s="40"/>
      <c r="ES117" s="40"/>
      <c r="ET117" s="40"/>
      <c r="EU117" s="40"/>
      <c r="EV117" s="40"/>
      <c r="EW117" s="40"/>
      <c r="EX117" s="40"/>
      <c r="EY117" s="40"/>
      <c r="EZ117" s="40"/>
      <c r="FA117" s="40"/>
      <c r="FB117" s="40"/>
      <c r="FC117" s="40"/>
      <c r="FD117" s="40"/>
      <c r="FE117" s="40"/>
      <c r="FF117" s="40"/>
      <c r="FG117" s="40"/>
      <c r="FH117" s="40"/>
      <c r="FI117" s="40"/>
      <c r="FJ117" s="40"/>
      <c r="FK117" s="40"/>
      <c r="FL117" s="40"/>
      <c r="FM117" s="40"/>
      <c r="FN117" s="40"/>
      <c r="FO117" s="40"/>
      <c r="FP117" s="40"/>
      <c r="FQ117" s="40"/>
      <c r="FR117" s="40"/>
      <c r="FS117" s="40"/>
      <c r="FT117" s="40"/>
      <c r="FU117" s="40"/>
      <c r="FV117" s="40"/>
    </row>
    <row r="118" spans="22:178" s="34" customFormat="1">
      <c r="V118" s="40"/>
      <c r="CX118" s="45"/>
      <c r="CY118" s="45"/>
      <c r="CZ118" s="45"/>
      <c r="DA118" s="45"/>
      <c r="DB118" s="45"/>
      <c r="DC118" s="45"/>
      <c r="DD118" s="45"/>
      <c r="DE118" s="45"/>
      <c r="DF118" s="45"/>
      <c r="DG118" s="45"/>
      <c r="DH118" s="45"/>
      <c r="DI118" s="45"/>
      <c r="DJ118" s="45"/>
      <c r="DK118" s="47"/>
      <c r="DL118" s="47"/>
      <c r="DM118" s="47"/>
      <c r="DN118" s="47"/>
      <c r="DO118" s="47"/>
      <c r="DP118" s="47"/>
      <c r="DQ118" s="47"/>
      <c r="DR118" s="47"/>
      <c r="DS118" s="47"/>
      <c r="DT118" s="47"/>
      <c r="DU118" s="47"/>
      <c r="DV118" s="47"/>
      <c r="DW118" s="47"/>
      <c r="DX118" s="47"/>
      <c r="DY118" s="47"/>
      <c r="DZ118" s="47"/>
      <c r="EA118" s="47"/>
      <c r="EB118" s="47"/>
      <c r="EC118" s="47"/>
      <c r="ED118" s="47"/>
      <c r="EE118" s="47"/>
      <c r="EF118" s="47"/>
      <c r="EG118" s="47"/>
      <c r="EH118" s="47"/>
      <c r="EI118" s="40"/>
      <c r="EJ118" s="40"/>
      <c r="EK118" s="40"/>
      <c r="EL118" s="40"/>
      <c r="EM118" s="40"/>
      <c r="EN118" s="40"/>
      <c r="EO118" s="40"/>
      <c r="EP118" s="40"/>
      <c r="EQ118" s="40"/>
      <c r="ER118" s="40"/>
      <c r="ES118" s="40"/>
      <c r="ET118" s="40"/>
      <c r="EU118" s="40"/>
      <c r="EV118" s="40"/>
      <c r="EW118" s="40"/>
      <c r="EX118" s="40"/>
      <c r="EY118" s="40"/>
      <c r="EZ118" s="40"/>
      <c r="FA118" s="40"/>
      <c r="FB118" s="40"/>
      <c r="FC118" s="40"/>
      <c r="FD118" s="40"/>
      <c r="FE118" s="40"/>
      <c r="FF118" s="40"/>
      <c r="FG118" s="40"/>
      <c r="FH118" s="40"/>
      <c r="FI118" s="40"/>
      <c r="FJ118" s="40"/>
      <c r="FK118" s="40"/>
      <c r="FL118" s="40"/>
      <c r="FM118" s="40"/>
      <c r="FN118" s="40"/>
      <c r="FO118" s="40"/>
      <c r="FP118" s="40"/>
      <c r="FQ118" s="40"/>
      <c r="FR118" s="40"/>
      <c r="FS118" s="40"/>
      <c r="FT118" s="40"/>
      <c r="FU118" s="40"/>
      <c r="FV118" s="40"/>
    </row>
    <row r="119" spans="22:178" s="34" customFormat="1">
      <c r="V119" s="40"/>
      <c r="CX119" s="45"/>
      <c r="CY119" s="45"/>
      <c r="CZ119" s="45"/>
      <c r="DA119" s="45"/>
      <c r="DB119" s="45"/>
      <c r="DC119" s="45"/>
      <c r="DD119" s="45"/>
      <c r="DE119" s="45"/>
      <c r="DF119" s="45"/>
      <c r="DG119" s="45"/>
      <c r="DH119" s="45"/>
      <c r="DI119" s="45"/>
      <c r="DJ119" s="45"/>
      <c r="DK119" s="47"/>
      <c r="DL119" s="47"/>
      <c r="DM119" s="47"/>
      <c r="DN119" s="47"/>
      <c r="DO119" s="47"/>
      <c r="DP119" s="47"/>
      <c r="DQ119" s="47"/>
      <c r="DR119" s="47"/>
      <c r="DS119" s="47"/>
      <c r="DT119" s="47"/>
      <c r="DU119" s="47"/>
      <c r="DV119" s="47"/>
      <c r="DW119" s="47"/>
      <c r="DX119" s="47"/>
      <c r="DY119" s="47"/>
      <c r="DZ119" s="47"/>
      <c r="EA119" s="47"/>
      <c r="EB119" s="47"/>
      <c r="EC119" s="47"/>
      <c r="ED119" s="47"/>
      <c r="EE119" s="47"/>
      <c r="EF119" s="47"/>
      <c r="EG119" s="47"/>
      <c r="EH119" s="47"/>
      <c r="EI119" s="40"/>
      <c r="EJ119" s="40"/>
      <c r="EK119" s="40"/>
      <c r="EL119" s="40"/>
      <c r="EM119" s="40"/>
      <c r="EN119" s="40"/>
      <c r="EO119" s="40"/>
      <c r="EP119" s="40"/>
      <c r="EQ119" s="40"/>
      <c r="ER119" s="40"/>
      <c r="ES119" s="40"/>
      <c r="ET119" s="40"/>
      <c r="EU119" s="40"/>
      <c r="EV119" s="40"/>
      <c r="EW119" s="40"/>
      <c r="EX119" s="40"/>
      <c r="EY119" s="40"/>
      <c r="EZ119" s="40"/>
      <c r="FA119" s="40"/>
      <c r="FB119" s="40"/>
      <c r="FC119" s="40"/>
      <c r="FD119" s="40"/>
      <c r="FE119" s="40"/>
      <c r="FF119" s="40"/>
      <c r="FG119" s="40"/>
      <c r="FH119" s="40"/>
      <c r="FI119" s="40"/>
      <c r="FJ119" s="40"/>
      <c r="FK119" s="40"/>
      <c r="FL119" s="40"/>
      <c r="FM119" s="40"/>
      <c r="FN119" s="40"/>
      <c r="FO119" s="40"/>
      <c r="FP119" s="40"/>
      <c r="FQ119" s="40"/>
      <c r="FR119" s="40"/>
      <c r="FS119" s="40"/>
      <c r="FT119" s="40"/>
      <c r="FU119" s="40"/>
      <c r="FV119" s="40"/>
    </row>
    <row r="120" spans="22:178" s="34" customFormat="1">
      <c r="V120" s="40"/>
      <c r="CX120" s="45"/>
      <c r="CY120" s="45"/>
      <c r="CZ120" s="45"/>
      <c r="DA120" s="45"/>
      <c r="DB120" s="45"/>
      <c r="DC120" s="45"/>
      <c r="DD120" s="45"/>
      <c r="DE120" s="45"/>
      <c r="DF120" s="45"/>
      <c r="DG120" s="45"/>
      <c r="DH120" s="45"/>
      <c r="DI120" s="45"/>
      <c r="DJ120" s="45"/>
      <c r="DK120" s="47"/>
      <c r="DL120" s="47"/>
      <c r="DM120" s="47"/>
      <c r="DN120" s="47"/>
      <c r="DO120" s="47"/>
      <c r="DP120" s="47"/>
      <c r="DQ120" s="47"/>
      <c r="DR120" s="47"/>
      <c r="DS120" s="47"/>
      <c r="DT120" s="47"/>
      <c r="DU120" s="47"/>
      <c r="DV120" s="47"/>
      <c r="DW120" s="47"/>
      <c r="DX120" s="47"/>
      <c r="DY120" s="47"/>
      <c r="DZ120" s="47"/>
      <c r="EA120" s="47"/>
      <c r="EB120" s="47"/>
      <c r="EC120" s="47"/>
      <c r="ED120" s="47"/>
      <c r="EE120" s="47"/>
      <c r="EF120" s="47"/>
      <c r="EG120" s="47"/>
      <c r="EH120" s="47"/>
      <c r="EI120" s="40"/>
      <c r="EJ120" s="40"/>
      <c r="EK120" s="40"/>
      <c r="EL120" s="40"/>
      <c r="EM120" s="40"/>
      <c r="EN120" s="40"/>
      <c r="EO120" s="40"/>
      <c r="EP120" s="40"/>
      <c r="EQ120" s="40"/>
      <c r="ER120" s="40"/>
      <c r="ES120" s="40"/>
      <c r="ET120" s="40"/>
      <c r="EU120" s="40"/>
      <c r="EV120" s="40"/>
      <c r="EW120" s="40"/>
      <c r="EX120" s="40"/>
      <c r="EY120" s="40"/>
      <c r="EZ120" s="40"/>
      <c r="FA120" s="40"/>
      <c r="FB120" s="40"/>
      <c r="FC120" s="40"/>
      <c r="FD120" s="40"/>
      <c r="FE120" s="40"/>
      <c r="FF120" s="40"/>
      <c r="FG120" s="40"/>
      <c r="FH120" s="40"/>
      <c r="FI120" s="40"/>
      <c r="FJ120" s="40"/>
      <c r="FK120" s="40"/>
      <c r="FL120" s="40"/>
      <c r="FM120" s="40"/>
      <c r="FN120" s="40"/>
      <c r="FO120" s="40"/>
      <c r="FP120" s="40"/>
      <c r="FQ120" s="40"/>
      <c r="FR120" s="40"/>
      <c r="FS120" s="40"/>
      <c r="FT120" s="40"/>
      <c r="FU120" s="40"/>
      <c r="FV120" s="40"/>
    </row>
    <row r="121" spans="22:178" s="34" customFormat="1">
      <c r="V121" s="40"/>
      <c r="CX121" s="45"/>
      <c r="CY121" s="45"/>
      <c r="CZ121" s="45"/>
      <c r="DA121" s="45"/>
      <c r="DB121" s="45"/>
      <c r="DC121" s="45"/>
      <c r="DD121" s="45"/>
      <c r="DE121" s="45"/>
      <c r="DF121" s="45"/>
      <c r="DG121" s="45"/>
      <c r="DH121" s="45"/>
      <c r="DI121" s="45"/>
      <c r="DJ121" s="45"/>
      <c r="DK121" s="47"/>
      <c r="DL121" s="47"/>
      <c r="DM121" s="47"/>
      <c r="DN121" s="47"/>
      <c r="DO121" s="47"/>
      <c r="DP121" s="47"/>
      <c r="DQ121" s="47"/>
      <c r="DR121" s="47"/>
      <c r="DS121" s="47"/>
      <c r="DT121" s="47"/>
      <c r="DU121" s="47"/>
      <c r="DV121" s="47"/>
      <c r="DW121" s="47"/>
      <c r="DX121" s="47"/>
      <c r="DY121" s="47"/>
      <c r="DZ121" s="47"/>
      <c r="EA121" s="47"/>
      <c r="EB121" s="47"/>
      <c r="EC121" s="47"/>
      <c r="ED121" s="47"/>
      <c r="EE121" s="47"/>
      <c r="EF121" s="47"/>
      <c r="EG121" s="47"/>
      <c r="EH121" s="47"/>
      <c r="EI121" s="40"/>
      <c r="EJ121" s="40"/>
      <c r="EK121" s="40"/>
      <c r="EL121" s="40"/>
      <c r="EM121" s="40"/>
      <c r="EN121" s="40"/>
      <c r="EO121" s="40"/>
      <c r="EP121" s="40"/>
      <c r="EQ121" s="40"/>
      <c r="ER121" s="40"/>
      <c r="ES121" s="40"/>
      <c r="ET121" s="40"/>
      <c r="EU121" s="40"/>
      <c r="EV121" s="40"/>
      <c r="EW121" s="40"/>
      <c r="EX121" s="40"/>
      <c r="EY121" s="40"/>
      <c r="EZ121" s="40"/>
      <c r="FA121" s="40"/>
      <c r="FB121" s="40"/>
      <c r="FC121" s="40"/>
      <c r="FD121" s="40"/>
      <c r="FE121" s="40"/>
      <c r="FF121" s="40"/>
      <c r="FG121" s="40"/>
      <c r="FH121" s="40"/>
      <c r="FI121" s="40"/>
      <c r="FJ121" s="40"/>
      <c r="FK121" s="40"/>
      <c r="FL121" s="40"/>
      <c r="FM121" s="40"/>
      <c r="FN121" s="40"/>
      <c r="FO121" s="40"/>
      <c r="FP121" s="40"/>
      <c r="FQ121" s="40"/>
      <c r="FR121" s="40"/>
      <c r="FS121" s="40"/>
      <c r="FT121" s="40"/>
      <c r="FU121" s="40"/>
      <c r="FV121" s="40"/>
    </row>
    <row r="122" spans="22:178" s="34" customFormat="1">
      <c r="V122" s="40"/>
      <c r="CX122" s="45"/>
      <c r="CY122" s="45"/>
      <c r="CZ122" s="45"/>
      <c r="DA122" s="45"/>
      <c r="DB122" s="45"/>
      <c r="DC122" s="45"/>
      <c r="DD122" s="45"/>
      <c r="DE122" s="45"/>
      <c r="DF122" s="45"/>
      <c r="DG122" s="45"/>
      <c r="DH122" s="45"/>
      <c r="DI122" s="45"/>
      <c r="DJ122" s="45"/>
      <c r="DK122" s="47"/>
      <c r="DL122" s="47"/>
      <c r="DM122" s="47"/>
      <c r="DN122" s="47"/>
      <c r="DO122" s="47"/>
      <c r="DP122" s="47"/>
      <c r="DQ122" s="47"/>
      <c r="DR122" s="47"/>
      <c r="DS122" s="47"/>
      <c r="DT122" s="47"/>
      <c r="DU122" s="47"/>
      <c r="DV122" s="47"/>
      <c r="DW122" s="47"/>
      <c r="DX122" s="47"/>
      <c r="DY122" s="47"/>
      <c r="DZ122" s="47"/>
      <c r="EA122" s="47"/>
      <c r="EB122" s="47"/>
      <c r="EC122" s="47"/>
      <c r="ED122" s="47"/>
      <c r="EE122" s="47"/>
      <c r="EF122" s="47"/>
      <c r="EG122" s="47"/>
      <c r="EH122" s="47"/>
      <c r="EI122" s="40"/>
      <c r="EJ122" s="40"/>
      <c r="EK122" s="40"/>
      <c r="EL122" s="40"/>
      <c r="EM122" s="40"/>
      <c r="EN122" s="40"/>
      <c r="EO122" s="40"/>
      <c r="EP122" s="40"/>
      <c r="EQ122" s="40"/>
      <c r="ER122" s="40"/>
      <c r="ES122" s="40"/>
      <c r="ET122" s="40"/>
      <c r="EU122" s="40"/>
      <c r="EV122" s="40"/>
      <c r="EW122" s="40"/>
      <c r="EX122" s="40"/>
      <c r="EY122" s="40"/>
      <c r="EZ122" s="40"/>
      <c r="FA122" s="40"/>
      <c r="FB122" s="40"/>
      <c r="FC122" s="40"/>
      <c r="FD122" s="40"/>
      <c r="FE122" s="40"/>
      <c r="FF122" s="40"/>
      <c r="FG122" s="40"/>
      <c r="FH122" s="40"/>
      <c r="FI122" s="40"/>
      <c r="FJ122" s="40"/>
      <c r="FK122" s="40"/>
      <c r="FL122" s="40"/>
      <c r="FM122" s="40"/>
      <c r="FN122" s="40"/>
      <c r="FO122" s="40"/>
      <c r="FP122" s="40"/>
      <c r="FQ122" s="40"/>
      <c r="FR122" s="40"/>
      <c r="FS122" s="40"/>
      <c r="FT122" s="40"/>
      <c r="FU122" s="40"/>
      <c r="FV122" s="40"/>
    </row>
    <row r="123" spans="22:178" s="34" customFormat="1">
      <c r="V123" s="40"/>
      <c r="CX123" s="45"/>
      <c r="CY123" s="45"/>
      <c r="CZ123" s="45"/>
      <c r="DA123" s="45"/>
      <c r="DB123" s="45"/>
      <c r="DC123" s="45"/>
      <c r="DD123" s="45"/>
      <c r="DE123" s="45"/>
      <c r="DF123" s="45"/>
      <c r="DG123" s="45"/>
      <c r="DH123" s="45"/>
      <c r="DI123" s="45"/>
      <c r="DJ123" s="45"/>
      <c r="DK123" s="47"/>
      <c r="DL123" s="47"/>
      <c r="DM123" s="47"/>
      <c r="DN123" s="47"/>
      <c r="DO123" s="47"/>
      <c r="DP123" s="47"/>
      <c r="DQ123" s="47"/>
      <c r="DR123" s="47"/>
      <c r="DS123" s="47"/>
      <c r="DT123" s="47"/>
      <c r="DU123" s="47"/>
      <c r="DV123" s="47"/>
      <c r="DW123" s="47"/>
      <c r="DX123" s="47"/>
      <c r="DY123" s="47"/>
      <c r="DZ123" s="47"/>
      <c r="EA123" s="47"/>
      <c r="EB123" s="47"/>
      <c r="EC123" s="47"/>
      <c r="ED123" s="47"/>
      <c r="EE123" s="47"/>
      <c r="EF123" s="47"/>
      <c r="EG123" s="47"/>
      <c r="EH123" s="47"/>
      <c r="EI123" s="40"/>
      <c r="EJ123" s="40"/>
      <c r="EK123" s="40"/>
      <c r="EL123" s="40"/>
      <c r="EM123" s="40"/>
      <c r="EN123" s="40"/>
      <c r="EO123" s="40"/>
      <c r="EP123" s="40"/>
      <c r="EQ123" s="40"/>
      <c r="ER123" s="40"/>
      <c r="ES123" s="40"/>
      <c r="ET123" s="40"/>
      <c r="EU123" s="40"/>
      <c r="EV123" s="40"/>
      <c r="EW123" s="40"/>
      <c r="EX123" s="40"/>
      <c r="EY123" s="40"/>
      <c r="EZ123" s="40"/>
      <c r="FA123" s="40"/>
      <c r="FB123" s="40"/>
      <c r="FC123" s="40"/>
      <c r="FD123" s="40"/>
      <c r="FE123" s="40"/>
      <c r="FF123" s="40"/>
      <c r="FG123" s="40"/>
      <c r="FH123" s="40"/>
      <c r="FI123" s="40"/>
      <c r="FJ123" s="40"/>
      <c r="FK123" s="40"/>
      <c r="FL123" s="40"/>
      <c r="FM123" s="40"/>
      <c r="FN123" s="40"/>
      <c r="FO123" s="40"/>
      <c r="FP123" s="40"/>
      <c r="FQ123" s="40"/>
      <c r="FR123" s="40"/>
      <c r="FS123" s="40"/>
      <c r="FT123" s="40"/>
      <c r="FU123" s="40"/>
      <c r="FV123" s="40"/>
    </row>
    <row r="124" spans="22:178" s="34" customFormat="1">
      <c r="V124" s="40"/>
      <c r="CX124" s="45"/>
      <c r="CY124" s="45"/>
      <c r="CZ124" s="45"/>
      <c r="DA124" s="45"/>
      <c r="DB124" s="45"/>
      <c r="DC124" s="45"/>
      <c r="DD124" s="45"/>
      <c r="DE124" s="45"/>
      <c r="DF124" s="45"/>
      <c r="DG124" s="45"/>
      <c r="DH124" s="45"/>
      <c r="DI124" s="45"/>
      <c r="DJ124" s="45"/>
      <c r="DK124" s="47"/>
      <c r="DL124" s="47"/>
      <c r="DM124" s="47"/>
      <c r="DN124" s="47"/>
      <c r="DO124" s="47"/>
      <c r="DP124" s="47"/>
      <c r="DQ124" s="47"/>
      <c r="DR124" s="47"/>
      <c r="DS124" s="47"/>
      <c r="DT124" s="47"/>
      <c r="DU124" s="47"/>
      <c r="DV124" s="47"/>
      <c r="DW124" s="47"/>
      <c r="DX124" s="47"/>
      <c r="DY124" s="47"/>
      <c r="DZ124" s="47"/>
      <c r="EA124" s="47"/>
      <c r="EB124" s="47"/>
      <c r="EC124" s="47"/>
      <c r="ED124" s="47"/>
      <c r="EE124" s="47"/>
      <c r="EF124" s="47"/>
      <c r="EG124" s="47"/>
      <c r="EH124" s="47"/>
      <c r="EI124" s="40"/>
      <c r="EJ124" s="40"/>
      <c r="EK124" s="40"/>
      <c r="EL124" s="40"/>
      <c r="EM124" s="40"/>
      <c r="EN124" s="40"/>
      <c r="EO124" s="40"/>
      <c r="EP124" s="40"/>
      <c r="EQ124" s="40"/>
      <c r="ER124" s="40"/>
      <c r="ES124" s="40"/>
      <c r="ET124" s="40"/>
      <c r="EU124" s="40"/>
      <c r="EV124" s="40"/>
      <c r="EW124" s="40"/>
      <c r="EX124" s="40"/>
      <c r="EY124" s="40"/>
      <c r="EZ124" s="40"/>
      <c r="FA124" s="40"/>
      <c r="FB124" s="40"/>
      <c r="FC124" s="40"/>
      <c r="FD124" s="40"/>
      <c r="FE124" s="40"/>
      <c r="FF124" s="40"/>
      <c r="FG124" s="40"/>
      <c r="FH124" s="40"/>
      <c r="FI124" s="40"/>
      <c r="FJ124" s="40"/>
      <c r="FK124" s="40"/>
      <c r="FL124" s="40"/>
      <c r="FM124" s="40"/>
      <c r="FN124" s="40"/>
      <c r="FO124" s="40"/>
      <c r="FP124" s="40"/>
      <c r="FQ124" s="40"/>
      <c r="FR124" s="40"/>
      <c r="FS124" s="40"/>
      <c r="FT124" s="40"/>
      <c r="FU124" s="40"/>
      <c r="FV124" s="40"/>
    </row>
    <row r="125" spans="22:178" s="34" customFormat="1">
      <c r="V125" s="40"/>
      <c r="CX125" s="45"/>
      <c r="CY125" s="45"/>
      <c r="CZ125" s="45"/>
      <c r="DA125" s="45"/>
      <c r="DB125" s="45"/>
      <c r="DC125" s="45"/>
      <c r="DD125" s="45"/>
      <c r="DE125" s="45"/>
      <c r="DF125" s="45"/>
      <c r="DG125" s="45"/>
      <c r="DH125" s="45"/>
      <c r="DI125" s="45"/>
      <c r="DJ125" s="45"/>
      <c r="DK125" s="47"/>
      <c r="DL125" s="47"/>
      <c r="DM125" s="47"/>
      <c r="DN125" s="47"/>
      <c r="DO125" s="47"/>
      <c r="DP125" s="47"/>
      <c r="DQ125" s="47"/>
      <c r="DR125" s="47"/>
      <c r="DS125" s="47"/>
      <c r="DT125" s="47"/>
      <c r="DU125" s="47"/>
      <c r="DV125" s="47"/>
      <c r="DW125" s="47"/>
      <c r="DX125" s="47"/>
      <c r="DY125" s="47"/>
      <c r="DZ125" s="47"/>
      <c r="EA125" s="47"/>
      <c r="EB125" s="47"/>
      <c r="EC125" s="47"/>
      <c r="ED125" s="47"/>
      <c r="EE125" s="47"/>
      <c r="EF125" s="47"/>
      <c r="EG125" s="47"/>
      <c r="EH125" s="47"/>
      <c r="EI125" s="40"/>
      <c r="EJ125" s="40"/>
      <c r="EK125" s="40"/>
      <c r="EL125" s="40"/>
      <c r="EM125" s="40"/>
      <c r="EN125" s="40"/>
      <c r="EO125" s="40"/>
      <c r="EP125" s="40"/>
      <c r="EQ125" s="40"/>
      <c r="ER125" s="40"/>
      <c r="ES125" s="40"/>
      <c r="ET125" s="40"/>
      <c r="EU125" s="40"/>
      <c r="EV125" s="40"/>
      <c r="EW125" s="40"/>
      <c r="EX125" s="40"/>
      <c r="EY125" s="40"/>
      <c r="EZ125" s="40"/>
      <c r="FA125" s="40"/>
      <c r="FB125" s="40"/>
      <c r="FC125" s="40"/>
      <c r="FD125" s="40"/>
      <c r="FE125" s="40"/>
      <c r="FF125" s="40"/>
      <c r="FG125" s="40"/>
      <c r="FH125" s="40"/>
      <c r="FI125" s="40"/>
      <c r="FJ125" s="40"/>
      <c r="FK125" s="40"/>
      <c r="FL125" s="40"/>
      <c r="FM125" s="40"/>
      <c r="FN125" s="40"/>
      <c r="FO125" s="40"/>
      <c r="FP125" s="40"/>
      <c r="FQ125" s="40"/>
      <c r="FR125" s="40"/>
      <c r="FS125" s="40"/>
      <c r="FT125" s="40"/>
      <c r="FU125" s="40"/>
      <c r="FV125" s="40"/>
    </row>
    <row r="126" spans="22:178" s="34" customFormat="1">
      <c r="V126" s="40"/>
      <c r="CX126" s="45"/>
      <c r="CY126" s="45"/>
      <c r="CZ126" s="45"/>
      <c r="DA126" s="45"/>
      <c r="DB126" s="45"/>
      <c r="DC126" s="45"/>
      <c r="DD126" s="45"/>
      <c r="DE126" s="45"/>
      <c r="DF126" s="45"/>
      <c r="DG126" s="45"/>
      <c r="DH126" s="45"/>
      <c r="DI126" s="45"/>
      <c r="DJ126" s="45"/>
      <c r="DK126" s="47"/>
      <c r="DL126" s="47"/>
      <c r="DM126" s="47"/>
      <c r="DN126" s="47"/>
      <c r="DO126" s="47"/>
      <c r="DP126" s="47"/>
      <c r="DQ126" s="47"/>
      <c r="DR126" s="47"/>
      <c r="DS126" s="47"/>
      <c r="DT126" s="47"/>
      <c r="DU126" s="47"/>
      <c r="DV126" s="47"/>
      <c r="DW126" s="47"/>
      <c r="DX126" s="47"/>
      <c r="DY126" s="47"/>
      <c r="DZ126" s="47"/>
      <c r="EA126" s="47"/>
      <c r="EB126" s="47"/>
      <c r="EC126" s="47"/>
      <c r="ED126" s="47"/>
      <c r="EE126" s="47"/>
      <c r="EF126" s="47"/>
      <c r="EG126" s="47"/>
      <c r="EH126" s="47"/>
      <c r="EI126" s="40"/>
      <c r="EJ126" s="40"/>
      <c r="EK126" s="40"/>
      <c r="EL126" s="40"/>
      <c r="EM126" s="40"/>
      <c r="EN126" s="40"/>
      <c r="EO126" s="40"/>
      <c r="EP126" s="40"/>
      <c r="EQ126" s="40"/>
      <c r="ER126" s="40"/>
      <c r="ES126" s="40"/>
      <c r="ET126" s="40"/>
      <c r="EU126" s="40"/>
      <c r="EV126" s="40"/>
      <c r="EW126" s="40"/>
      <c r="EX126" s="40"/>
      <c r="EY126" s="40"/>
      <c r="EZ126" s="40"/>
      <c r="FA126" s="40"/>
      <c r="FB126" s="40"/>
      <c r="FC126" s="40"/>
      <c r="FD126" s="40"/>
      <c r="FE126" s="40"/>
      <c r="FF126" s="40"/>
      <c r="FG126" s="40"/>
      <c r="FH126" s="40"/>
      <c r="FI126" s="40"/>
      <c r="FJ126" s="40"/>
      <c r="FK126" s="40"/>
      <c r="FL126" s="40"/>
      <c r="FM126" s="40"/>
      <c r="FN126" s="40"/>
      <c r="FO126" s="40"/>
      <c r="FP126" s="40"/>
      <c r="FQ126" s="40"/>
      <c r="FR126" s="40"/>
      <c r="FS126" s="40"/>
      <c r="FT126" s="40"/>
      <c r="FU126" s="40"/>
      <c r="FV126" s="40"/>
    </row>
    <row r="127" spans="22:178" s="34" customFormat="1">
      <c r="V127" s="40"/>
      <c r="CX127" s="45"/>
      <c r="CY127" s="45"/>
      <c r="CZ127" s="45"/>
      <c r="DA127" s="45"/>
      <c r="DB127" s="45"/>
      <c r="DC127" s="45"/>
      <c r="DD127" s="45"/>
      <c r="DE127" s="45"/>
      <c r="DF127" s="45"/>
      <c r="DG127" s="45"/>
      <c r="DH127" s="45"/>
      <c r="DI127" s="45"/>
      <c r="DJ127" s="45"/>
      <c r="DK127" s="47"/>
      <c r="DL127" s="47"/>
      <c r="DM127" s="47"/>
      <c r="DN127" s="47"/>
      <c r="DO127" s="47"/>
      <c r="DP127" s="47"/>
      <c r="DQ127" s="47"/>
      <c r="DR127" s="47"/>
      <c r="DS127" s="47"/>
      <c r="DT127" s="47"/>
      <c r="DU127" s="47"/>
      <c r="DV127" s="47"/>
      <c r="DW127" s="47"/>
      <c r="DX127" s="47"/>
      <c r="DY127" s="47"/>
      <c r="DZ127" s="47"/>
      <c r="EA127" s="47"/>
      <c r="EB127" s="47"/>
      <c r="EC127" s="47"/>
      <c r="ED127" s="47"/>
      <c r="EE127" s="47"/>
      <c r="EF127" s="47"/>
      <c r="EG127" s="47"/>
      <c r="EH127" s="47"/>
      <c r="EI127" s="40"/>
      <c r="EJ127" s="40"/>
      <c r="EK127" s="40"/>
      <c r="EL127" s="40"/>
      <c r="EM127" s="40"/>
      <c r="EN127" s="40"/>
      <c r="EO127" s="40"/>
      <c r="EP127" s="40"/>
      <c r="EQ127" s="40"/>
      <c r="ER127" s="40"/>
      <c r="ES127" s="40"/>
      <c r="ET127" s="40"/>
      <c r="EU127" s="40"/>
      <c r="EV127" s="40"/>
      <c r="EW127" s="40"/>
      <c r="EX127" s="40"/>
      <c r="EY127" s="40"/>
      <c r="EZ127" s="40"/>
      <c r="FA127" s="40"/>
      <c r="FB127" s="40"/>
      <c r="FC127" s="40"/>
      <c r="FD127" s="40"/>
      <c r="FE127" s="40"/>
      <c r="FF127" s="40"/>
      <c r="FG127" s="40"/>
      <c r="FH127" s="40"/>
      <c r="FI127" s="40"/>
      <c r="FJ127" s="40"/>
      <c r="FK127" s="40"/>
      <c r="FL127" s="40"/>
      <c r="FM127" s="40"/>
      <c r="FN127" s="40"/>
      <c r="FO127" s="40"/>
      <c r="FP127" s="40"/>
      <c r="FQ127" s="40"/>
      <c r="FR127" s="40"/>
      <c r="FS127" s="40"/>
      <c r="FT127" s="40"/>
      <c r="FU127" s="40"/>
      <c r="FV127" s="40"/>
    </row>
    <row r="128" spans="22:178" s="34" customFormat="1">
      <c r="V128" s="40"/>
      <c r="CX128" s="45"/>
      <c r="CY128" s="45"/>
      <c r="CZ128" s="45"/>
      <c r="DA128" s="45"/>
      <c r="DB128" s="45"/>
      <c r="DC128" s="45"/>
      <c r="DD128" s="45"/>
      <c r="DE128" s="45"/>
      <c r="DF128" s="45"/>
      <c r="DG128" s="45"/>
      <c r="DH128" s="45"/>
      <c r="DI128" s="45"/>
      <c r="DJ128" s="45"/>
      <c r="DK128" s="47"/>
      <c r="DL128" s="47"/>
      <c r="DM128" s="47"/>
      <c r="DN128" s="47"/>
      <c r="DO128" s="47"/>
      <c r="DP128" s="47"/>
      <c r="DQ128" s="47"/>
      <c r="DR128" s="47"/>
      <c r="DS128" s="47"/>
      <c r="DT128" s="47"/>
      <c r="DU128" s="47"/>
      <c r="DV128" s="47"/>
      <c r="DW128" s="47"/>
      <c r="DX128" s="47"/>
      <c r="DY128" s="47"/>
      <c r="DZ128" s="47"/>
      <c r="EA128" s="47"/>
      <c r="EB128" s="47"/>
      <c r="EC128" s="47"/>
      <c r="ED128" s="47"/>
      <c r="EE128" s="47"/>
      <c r="EF128" s="47"/>
      <c r="EG128" s="47"/>
      <c r="EH128" s="47"/>
      <c r="EI128" s="40"/>
      <c r="EJ128" s="40"/>
      <c r="EK128" s="40"/>
      <c r="EL128" s="40"/>
      <c r="EM128" s="40"/>
      <c r="EN128" s="40"/>
      <c r="EO128" s="40"/>
      <c r="EP128" s="40"/>
      <c r="EQ128" s="40"/>
      <c r="ER128" s="40"/>
      <c r="ES128" s="40"/>
      <c r="ET128" s="40"/>
      <c r="EU128" s="40"/>
      <c r="EV128" s="40"/>
      <c r="EW128" s="40"/>
      <c r="EX128" s="40"/>
      <c r="EY128" s="40"/>
      <c r="EZ128" s="40"/>
      <c r="FA128" s="40"/>
      <c r="FB128" s="40"/>
      <c r="FC128" s="40"/>
      <c r="FD128" s="40"/>
      <c r="FE128" s="40"/>
      <c r="FF128" s="40"/>
      <c r="FG128" s="40"/>
      <c r="FH128" s="40"/>
      <c r="FI128" s="40"/>
      <c r="FJ128" s="40"/>
      <c r="FK128" s="40"/>
      <c r="FL128" s="40"/>
      <c r="FM128" s="40"/>
      <c r="FN128" s="40"/>
      <c r="FO128" s="40"/>
      <c r="FP128" s="40"/>
      <c r="FQ128" s="40"/>
      <c r="FR128" s="40"/>
      <c r="FS128" s="40"/>
      <c r="FT128" s="40"/>
      <c r="FU128" s="40"/>
      <c r="FV128" s="40"/>
    </row>
    <row r="129" spans="22:178" s="34" customFormat="1">
      <c r="V129" s="40"/>
      <c r="CX129" s="45"/>
      <c r="CY129" s="45"/>
      <c r="CZ129" s="45"/>
      <c r="DA129" s="45"/>
      <c r="DB129" s="45"/>
      <c r="DC129" s="45"/>
      <c r="DD129" s="45"/>
      <c r="DE129" s="45"/>
      <c r="DF129" s="45"/>
      <c r="DG129" s="45"/>
      <c r="DH129" s="45"/>
      <c r="DI129" s="45"/>
      <c r="DJ129" s="45"/>
      <c r="DK129" s="47"/>
      <c r="DL129" s="47"/>
      <c r="DM129" s="47"/>
      <c r="DN129" s="47"/>
      <c r="DO129" s="47"/>
      <c r="DP129" s="47"/>
      <c r="DQ129" s="47"/>
      <c r="DR129" s="47"/>
      <c r="DS129" s="47"/>
      <c r="DT129" s="47"/>
      <c r="DU129" s="47"/>
      <c r="DV129" s="47"/>
      <c r="DW129" s="47"/>
      <c r="DX129" s="47"/>
      <c r="DY129" s="47"/>
      <c r="DZ129" s="47"/>
      <c r="EA129" s="47"/>
      <c r="EB129" s="47"/>
      <c r="EC129" s="47"/>
      <c r="ED129" s="47"/>
      <c r="EE129" s="47"/>
      <c r="EF129" s="47"/>
      <c r="EG129" s="47"/>
      <c r="EH129" s="47"/>
      <c r="EI129" s="40"/>
      <c r="EJ129" s="40"/>
      <c r="EK129" s="40"/>
      <c r="EL129" s="40"/>
      <c r="EM129" s="40"/>
      <c r="EN129" s="40"/>
      <c r="EO129" s="40"/>
      <c r="EP129" s="40"/>
      <c r="EQ129" s="40"/>
      <c r="ER129" s="40"/>
      <c r="ES129" s="40"/>
      <c r="ET129" s="40"/>
      <c r="EU129" s="40"/>
      <c r="EV129" s="40"/>
      <c r="EW129" s="40"/>
      <c r="EX129" s="40"/>
      <c r="EY129" s="40"/>
      <c r="EZ129" s="40"/>
      <c r="FA129" s="40"/>
      <c r="FB129" s="40"/>
      <c r="FC129" s="40"/>
      <c r="FD129" s="40"/>
      <c r="FE129" s="40"/>
      <c r="FF129" s="40"/>
      <c r="FG129" s="40"/>
      <c r="FH129" s="40"/>
      <c r="FI129" s="40"/>
      <c r="FJ129" s="40"/>
      <c r="FK129" s="40"/>
      <c r="FL129" s="40"/>
      <c r="FM129" s="40"/>
      <c r="FN129" s="40"/>
      <c r="FO129" s="40"/>
      <c r="FP129" s="40"/>
      <c r="FQ129" s="40"/>
      <c r="FR129" s="40"/>
      <c r="FS129" s="40"/>
      <c r="FT129" s="40"/>
      <c r="FU129" s="40"/>
      <c r="FV129" s="40"/>
    </row>
    <row r="130" spans="22:178" s="34" customFormat="1">
      <c r="V130" s="40"/>
      <c r="CX130" s="45"/>
      <c r="CY130" s="45"/>
      <c r="CZ130" s="45"/>
      <c r="DA130" s="45"/>
      <c r="DB130" s="45"/>
      <c r="DC130" s="45"/>
      <c r="DD130" s="45"/>
      <c r="DE130" s="45"/>
      <c r="DF130" s="45"/>
      <c r="DG130" s="45"/>
      <c r="DH130" s="45"/>
      <c r="DI130" s="45"/>
      <c r="DJ130" s="45"/>
      <c r="DK130" s="47"/>
      <c r="DL130" s="47"/>
      <c r="DM130" s="47"/>
      <c r="DN130" s="47"/>
      <c r="DO130" s="47"/>
      <c r="DP130" s="47"/>
      <c r="DQ130" s="47"/>
      <c r="DR130" s="47"/>
      <c r="DS130" s="47"/>
      <c r="DT130" s="47"/>
      <c r="DU130" s="47"/>
      <c r="DV130" s="47"/>
      <c r="DW130" s="47"/>
      <c r="DX130" s="47"/>
      <c r="DY130" s="47"/>
      <c r="DZ130" s="47"/>
      <c r="EA130" s="47"/>
      <c r="EB130" s="47"/>
      <c r="EC130" s="47"/>
      <c r="ED130" s="47"/>
      <c r="EE130" s="47"/>
      <c r="EF130" s="47"/>
      <c r="EG130" s="47"/>
      <c r="EH130" s="47"/>
      <c r="EI130" s="40"/>
      <c r="EJ130" s="40"/>
      <c r="EK130" s="40"/>
      <c r="EL130" s="40"/>
      <c r="EM130" s="40"/>
      <c r="EN130" s="40"/>
      <c r="EO130" s="40"/>
      <c r="EP130" s="40"/>
      <c r="EQ130" s="40"/>
      <c r="ER130" s="40"/>
      <c r="ES130" s="40"/>
      <c r="ET130" s="40"/>
      <c r="EU130" s="40"/>
      <c r="EV130" s="40"/>
      <c r="EW130" s="40"/>
      <c r="EX130" s="40"/>
      <c r="EY130" s="40"/>
      <c r="EZ130" s="40"/>
      <c r="FA130" s="40"/>
      <c r="FB130" s="40"/>
      <c r="FC130" s="40"/>
      <c r="FD130" s="40"/>
      <c r="FE130" s="40"/>
      <c r="FF130" s="40"/>
      <c r="FG130" s="40"/>
      <c r="FH130" s="40"/>
      <c r="FI130" s="40"/>
      <c r="FJ130" s="40"/>
      <c r="FK130" s="40"/>
      <c r="FL130" s="40"/>
      <c r="FM130" s="40"/>
      <c r="FN130" s="40"/>
      <c r="FO130" s="40"/>
      <c r="FP130" s="40"/>
      <c r="FQ130" s="40"/>
      <c r="FR130" s="40"/>
      <c r="FS130" s="40"/>
      <c r="FT130" s="40"/>
      <c r="FU130" s="40"/>
      <c r="FV130" s="40"/>
    </row>
    <row r="131" spans="22:178" s="34" customFormat="1">
      <c r="V131" s="40"/>
      <c r="CX131" s="45"/>
      <c r="CY131" s="45"/>
      <c r="CZ131" s="45"/>
      <c r="DA131" s="45"/>
      <c r="DB131" s="45"/>
      <c r="DC131" s="45"/>
      <c r="DD131" s="45"/>
      <c r="DE131" s="45"/>
      <c r="DF131" s="45"/>
      <c r="DG131" s="45"/>
      <c r="DH131" s="45"/>
      <c r="DI131" s="45"/>
      <c r="DJ131" s="45"/>
      <c r="DK131" s="47"/>
      <c r="DL131" s="47"/>
      <c r="DM131" s="47"/>
      <c r="DN131" s="47"/>
      <c r="DO131" s="47"/>
      <c r="DP131" s="47"/>
      <c r="DQ131" s="47"/>
      <c r="DR131" s="47"/>
      <c r="DS131" s="47"/>
      <c r="DT131" s="47"/>
      <c r="DU131" s="47"/>
      <c r="DV131" s="47"/>
      <c r="DW131" s="47"/>
      <c r="DX131" s="47"/>
      <c r="DY131" s="47"/>
      <c r="DZ131" s="47"/>
      <c r="EA131" s="47"/>
      <c r="EB131" s="47"/>
      <c r="EC131" s="47"/>
      <c r="ED131" s="47"/>
      <c r="EE131" s="47"/>
      <c r="EF131" s="47"/>
      <c r="EG131" s="47"/>
      <c r="EH131" s="47"/>
      <c r="EI131" s="40"/>
      <c r="EJ131" s="40"/>
      <c r="EK131" s="40"/>
      <c r="EL131" s="40"/>
      <c r="EM131" s="40"/>
      <c r="EN131" s="40"/>
      <c r="EO131" s="40"/>
      <c r="EP131" s="40"/>
      <c r="EQ131" s="40"/>
      <c r="ER131" s="40"/>
      <c r="ES131" s="40"/>
      <c r="ET131" s="40"/>
      <c r="EU131" s="40"/>
      <c r="EV131" s="40"/>
      <c r="EW131" s="40"/>
      <c r="EX131" s="40"/>
      <c r="EY131" s="40"/>
      <c r="EZ131" s="40"/>
      <c r="FA131" s="40"/>
      <c r="FB131" s="40"/>
      <c r="FC131" s="40"/>
      <c r="FD131" s="40"/>
      <c r="FE131" s="40"/>
      <c r="FF131" s="40"/>
      <c r="FG131" s="40"/>
      <c r="FH131" s="40"/>
      <c r="FI131" s="40"/>
      <c r="FJ131" s="40"/>
      <c r="FK131" s="40"/>
      <c r="FL131" s="40"/>
      <c r="FM131" s="40"/>
      <c r="FN131" s="40"/>
      <c r="FO131" s="40"/>
      <c r="FP131" s="40"/>
      <c r="FQ131" s="40"/>
      <c r="FR131" s="40"/>
      <c r="FS131" s="40"/>
      <c r="FT131" s="40"/>
      <c r="FU131" s="40"/>
      <c r="FV131" s="40"/>
    </row>
    <row r="132" spans="22:178" s="34" customFormat="1">
      <c r="V132" s="40"/>
      <c r="CX132" s="45"/>
      <c r="CY132" s="45"/>
      <c r="CZ132" s="45"/>
      <c r="DA132" s="45"/>
      <c r="DB132" s="45"/>
      <c r="DC132" s="45"/>
      <c r="DD132" s="45"/>
      <c r="DE132" s="45"/>
      <c r="DF132" s="45"/>
      <c r="DG132" s="45"/>
      <c r="DH132" s="45"/>
      <c r="DI132" s="45"/>
      <c r="DJ132" s="45"/>
      <c r="DK132" s="47"/>
      <c r="DL132" s="47"/>
      <c r="DM132" s="47"/>
      <c r="DN132" s="47"/>
      <c r="DO132" s="47"/>
      <c r="DP132" s="47"/>
      <c r="DQ132" s="47"/>
      <c r="DR132" s="47"/>
      <c r="DS132" s="47"/>
      <c r="DT132" s="47"/>
      <c r="DU132" s="47"/>
      <c r="DV132" s="47"/>
      <c r="DW132" s="47"/>
      <c r="DX132" s="47"/>
      <c r="DY132" s="47"/>
      <c r="DZ132" s="47"/>
      <c r="EA132" s="47"/>
      <c r="EB132" s="47"/>
      <c r="EC132" s="47"/>
      <c r="ED132" s="47"/>
      <c r="EE132" s="47"/>
      <c r="EF132" s="47"/>
      <c r="EG132" s="47"/>
      <c r="EH132" s="47"/>
      <c r="EI132" s="40"/>
      <c r="EJ132" s="40"/>
      <c r="EK132" s="40"/>
      <c r="EL132" s="40"/>
      <c r="EM132" s="40"/>
      <c r="EN132" s="40"/>
      <c r="EO132" s="40"/>
      <c r="EP132" s="40"/>
      <c r="EQ132" s="40"/>
      <c r="ER132" s="40"/>
      <c r="ES132" s="40"/>
      <c r="ET132" s="40"/>
      <c r="EU132" s="40"/>
      <c r="EV132" s="40"/>
      <c r="EW132" s="40"/>
      <c r="EX132" s="40"/>
      <c r="EY132" s="40"/>
      <c r="EZ132" s="40"/>
      <c r="FA132" s="40"/>
      <c r="FB132" s="40"/>
      <c r="FC132" s="40"/>
      <c r="FD132" s="40"/>
      <c r="FE132" s="40"/>
      <c r="FF132" s="40"/>
      <c r="FG132" s="40"/>
      <c r="FH132" s="40"/>
      <c r="FI132" s="40"/>
      <c r="FJ132" s="40"/>
      <c r="FK132" s="40"/>
      <c r="FL132" s="40"/>
      <c r="FM132" s="40"/>
      <c r="FN132" s="40"/>
      <c r="FO132" s="40"/>
      <c r="FP132" s="40"/>
      <c r="FQ132" s="40"/>
      <c r="FR132" s="40"/>
      <c r="FS132" s="40"/>
      <c r="FT132" s="40"/>
      <c r="FU132" s="40"/>
      <c r="FV132" s="40"/>
    </row>
    <row r="133" spans="22:178" s="34" customFormat="1">
      <c r="V133" s="40"/>
      <c r="CX133" s="45"/>
      <c r="CY133" s="45"/>
      <c r="CZ133" s="45"/>
      <c r="DA133" s="45"/>
      <c r="DB133" s="45"/>
      <c r="DC133" s="45"/>
      <c r="DD133" s="45"/>
      <c r="DE133" s="45"/>
      <c r="DF133" s="45"/>
      <c r="DG133" s="45"/>
      <c r="DH133" s="45"/>
      <c r="DI133" s="45"/>
      <c r="DJ133" s="45"/>
      <c r="DK133" s="47"/>
      <c r="DL133" s="47"/>
      <c r="DM133" s="47"/>
      <c r="DN133" s="47"/>
      <c r="DO133" s="47"/>
      <c r="DP133" s="47"/>
      <c r="DQ133" s="47"/>
      <c r="DR133" s="47"/>
      <c r="DS133" s="47"/>
      <c r="DT133" s="47"/>
      <c r="DU133" s="47"/>
      <c r="DV133" s="47"/>
      <c r="DW133" s="47"/>
      <c r="DX133" s="47"/>
      <c r="DY133" s="47"/>
      <c r="DZ133" s="47"/>
      <c r="EA133" s="47"/>
      <c r="EB133" s="47"/>
      <c r="EC133" s="47"/>
      <c r="ED133" s="47"/>
      <c r="EE133" s="47"/>
      <c r="EF133" s="47"/>
      <c r="EG133" s="47"/>
      <c r="EH133" s="47"/>
      <c r="EI133" s="40"/>
      <c r="EJ133" s="40"/>
      <c r="EK133" s="40"/>
      <c r="EL133" s="40"/>
      <c r="EM133" s="40"/>
      <c r="EN133" s="40"/>
      <c r="EO133" s="40"/>
      <c r="EP133" s="40"/>
      <c r="EQ133" s="40"/>
      <c r="ER133" s="40"/>
      <c r="ES133" s="40"/>
      <c r="ET133" s="40"/>
      <c r="EU133" s="40"/>
      <c r="EV133" s="40"/>
      <c r="EW133" s="40"/>
      <c r="EX133" s="40"/>
      <c r="EY133" s="40"/>
      <c r="EZ133" s="40"/>
      <c r="FA133" s="40"/>
      <c r="FB133" s="40"/>
      <c r="FC133" s="40"/>
      <c r="FD133" s="40"/>
      <c r="FE133" s="40"/>
      <c r="FF133" s="40"/>
      <c r="FG133" s="40"/>
      <c r="FH133" s="40"/>
      <c r="FI133" s="40"/>
      <c r="FJ133" s="40"/>
      <c r="FK133" s="40"/>
      <c r="FL133" s="40"/>
      <c r="FM133" s="40"/>
      <c r="FN133" s="40"/>
      <c r="FO133" s="40"/>
      <c r="FP133" s="40"/>
      <c r="FQ133" s="40"/>
      <c r="FR133" s="40"/>
      <c r="FS133" s="40"/>
      <c r="FT133" s="40"/>
      <c r="FU133" s="40"/>
      <c r="FV133" s="40"/>
    </row>
    <row r="134" spans="22:178" s="34" customFormat="1">
      <c r="V134" s="40"/>
      <c r="CX134" s="45"/>
      <c r="CY134" s="45"/>
      <c r="CZ134" s="45"/>
      <c r="DA134" s="45"/>
      <c r="DB134" s="45"/>
      <c r="DC134" s="45"/>
      <c r="DD134" s="45"/>
      <c r="DE134" s="45"/>
      <c r="DF134" s="45"/>
      <c r="DG134" s="45"/>
      <c r="DH134" s="45"/>
      <c r="DI134" s="45"/>
      <c r="DJ134" s="45"/>
      <c r="DK134" s="47"/>
      <c r="DL134" s="47"/>
      <c r="DM134" s="47"/>
      <c r="DN134" s="47"/>
      <c r="DO134" s="47"/>
      <c r="DP134" s="47"/>
      <c r="DQ134" s="47"/>
      <c r="DR134" s="47"/>
      <c r="DS134" s="47"/>
      <c r="DT134" s="47"/>
      <c r="DU134" s="47"/>
      <c r="DV134" s="47"/>
      <c r="DW134" s="47"/>
      <c r="DX134" s="47"/>
      <c r="DY134" s="47"/>
      <c r="DZ134" s="47"/>
      <c r="EA134" s="47"/>
      <c r="EB134" s="47"/>
      <c r="EC134" s="47"/>
      <c r="ED134" s="47"/>
      <c r="EE134" s="47"/>
      <c r="EF134" s="47"/>
      <c r="EG134" s="47"/>
      <c r="EH134" s="47"/>
      <c r="EI134" s="40"/>
      <c r="EJ134" s="40"/>
      <c r="EK134" s="40"/>
      <c r="EL134" s="40"/>
      <c r="EM134" s="40"/>
      <c r="EN134" s="40"/>
      <c r="EO134" s="40"/>
      <c r="EP134" s="40"/>
      <c r="EQ134" s="40"/>
      <c r="ER134" s="40"/>
      <c r="ES134" s="40"/>
      <c r="ET134" s="40"/>
      <c r="EU134" s="40"/>
      <c r="EV134" s="40"/>
      <c r="EW134" s="40"/>
      <c r="EX134" s="40"/>
      <c r="EY134" s="40"/>
      <c r="EZ134" s="40"/>
      <c r="FA134" s="40"/>
      <c r="FB134" s="40"/>
      <c r="FC134" s="40"/>
      <c r="FD134" s="40"/>
      <c r="FE134" s="40"/>
      <c r="FF134" s="40"/>
      <c r="FG134" s="40"/>
      <c r="FH134" s="40"/>
      <c r="FI134" s="40"/>
      <c r="FJ134" s="40"/>
      <c r="FK134" s="40"/>
      <c r="FL134" s="40"/>
      <c r="FM134" s="40"/>
      <c r="FN134" s="40"/>
      <c r="FO134" s="40"/>
      <c r="FP134" s="40"/>
      <c r="FQ134" s="40"/>
      <c r="FR134" s="40"/>
      <c r="FS134" s="40"/>
      <c r="FT134" s="40"/>
      <c r="FU134" s="40"/>
      <c r="FV134" s="40"/>
    </row>
    <row r="135" spans="22:178" s="34" customFormat="1">
      <c r="V135" s="40"/>
      <c r="CX135" s="45"/>
      <c r="CY135" s="45"/>
      <c r="CZ135" s="45"/>
      <c r="DA135" s="45"/>
      <c r="DB135" s="45"/>
      <c r="DC135" s="45"/>
      <c r="DD135" s="45"/>
      <c r="DE135" s="45"/>
      <c r="DF135" s="45"/>
      <c r="DG135" s="45"/>
      <c r="DH135" s="45"/>
      <c r="DI135" s="45"/>
      <c r="DJ135" s="45"/>
      <c r="DK135" s="47"/>
      <c r="DL135" s="47"/>
      <c r="DM135" s="47"/>
      <c r="DN135" s="47"/>
      <c r="DO135" s="47"/>
      <c r="DP135" s="47"/>
      <c r="DQ135" s="47"/>
      <c r="DR135" s="47"/>
      <c r="DS135" s="47"/>
      <c r="DT135" s="47"/>
      <c r="DU135" s="47"/>
      <c r="DV135" s="47"/>
      <c r="DW135" s="47"/>
      <c r="DX135" s="47"/>
      <c r="DY135" s="47"/>
      <c r="DZ135" s="47"/>
      <c r="EA135" s="47"/>
      <c r="EB135" s="47"/>
      <c r="EC135" s="47"/>
      <c r="ED135" s="47"/>
      <c r="EE135" s="47"/>
      <c r="EF135" s="47"/>
      <c r="EG135" s="47"/>
      <c r="EH135" s="47"/>
      <c r="EI135" s="40"/>
      <c r="EJ135" s="40"/>
      <c r="EK135" s="40"/>
      <c r="EL135" s="40"/>
      <c r="EM135" s="40"/>
      <c r="EN135" s="40"/>
      <c r="EO135" s="40"/>
      <c r="EP135" s="40"/>
      <c r="EQ135" s="40"/>
      <c r="ER135" s="40"/>
      <c r="ES135" s="40"/>
      <c r="ET135" s="40"/>
      <c r="EU135" s="40"/>
      <c r="EV135" s="40"/>
      <c r="EW135" s="40"/>
      <c r="EX135" s="40"/>
      <c r="EY135" s="40"/>
      <c r="EZ135" s="40"/>
      <c r="FA135" s="40"/>
      <c r="FB135" s="40"/>
      <c r="FC135" s="40"/>
      <c r="FD135" s="40"/>
      <c r="FE135" s="40"/>
      <c r="FF135" s="40"/>
      <c r="FG135" s="40"/>
      <c r="FH135" s="40"/>
      <c r="FI135" s="40"/>
      <c r="FJ135" s="40"/>
      <c r="FK135" s="40"/>
      <c r="FL135" s="40"/>
      <c r="FM135" s="40"/>
      <c r="FN135" s="40"/>
      <c r="FO135" s="40"/>
      <c r="FP135" s="40"/>
      <c r="FQ135" s="40"/>
      <c r="FR135" s="40"/>
      <c r="FS135" s="40"/>
      <c r="FT135" s="40"/>
      <c r="FU135" s="40"/>
      <c r="FV135" s="40"/>
    </row>
    <row r="136" spans="22:178" s="34" customFormat="1">
      <c r="V136" s="40"/>
      <c r="CX136" s="45"/>
      <c r="CY136" s="45"/>
      <c r="CZ136" s="45"/>
      <c r="DA136" s="45"/>
      <c r="DB136" s="45"/>
      <c r="DC136" s="45"/>
      <c r="DD136" s="45"/>
      <c r="DE136" s="45"/>
      <c r="DF136" s="45"/>
      <c r="DG136" s="45"/>
      <c r="DH136" s="45"/>
      <c r="DI136" s="45"/>
      <c r="DJ136" s="45"/>
      <c r="DK136" s="47"/>
      <c r="DL136" s="47"/>
      <c r="DM136" s="47"/>
      <c r="DN136" s="47"/>
      <c r="DO136" s="47"/>
      <c r="DP136" s="47"/>
      <c r="DQ136" s="47"/>
      <c r="DR136" s="47"/>
      <c r="DS136" s="47"/>
      <c r="DT136" s="47"/>
      <c r="DU136" s="47"/>
      <c r="DV136" s="47"/>
      <c r="DW136" s="47"/>
      <c r="DX136" s="47"/>
      <c r="DY136" s="47"/>
      <c r="DZ136" s="47"/>
      <c r="EA136" s="47"/>
      <c r="EB136" s="47"/>
      <c r="EC136" s="47"/>
      <c r="ED136" s="47"/>
      <c r="EE136" s="47"/>
      <c r="EF136" s="47"/>
      <c r="EG136" s="47"/>
      <c r="EH136" s="47"/>
      <c r="EI136" s="40"/>
      <c r="EJ136" s="40"/>
      <c r="EK136" s="40"/>
      <c r="EL136" s="40"/>
      <c r="EM136" s="40"/>
      <c r="EN136" s="40"/>
      <c r="EO136" s="40"/>
      <c r="EP136" s="40"/>
      <c r="EQ136" s="40"/>
      <c r="ER136" s="40"/>
      <c r="ES136" s="40"/>
      <c r="ET136" s="40"/>
      <c r="EU136" s="40"/>
      <c r="EV136" s="40"/>
      <c r="EW136" s="40"/>
      <c r="EX136" s="40"/>
      <c r="EY136" s="40"/>
      <c r="EZ136" s="40"/>
      <c r="FA136" s="40"/>
      <c r="FB136" s="40"/>
      <c r="FC136" s="40"/>
      <c r="FD136" s="40"/>
      <c r="FE136" s="40"/>
      <c r="FF136" s="40"/>
      <c r="FG136" s="40"/>
      <c r="FH136" s="40"/>
      <c r="FI136" s="40"/>
      <c r="FJ136" s="40"/>
      <c r="FK136" s="40"/>
      <c r="FL136" s="40"/>
      <c r="FM136" s="40"/>
      <c r="FN136" s="40"/>
      <c r="FO136" s="40"/>
      <c r="FP136" s="40"/>
      <c r="FQ136" s="40"/>
      <c r="FR136" s="40"/>
      <c r="FS136" s="40"/>
      <c r="FT136" s="40"/>
      <c r="FU136" s="40"/>
      <c r="FV136" s="40"/>
    </row>
    <row r="137" spans="22:178" s="34" customFormat="1">
      <c r="V137" s="40"/>
      <c r="CX137" s="45"/>
      <c r="CY137" s="45"/>
      <c r="CZ137" s="45"/>
      <c r="DA137" s="45"/>
      <c r="DB137" s="45"/>
      <c r="DC137" s="45"/>
      <c r="DD137" s="45"/>
      <c r="DE137" s="45"/>
      <c r="DF137" s="45"/>
      <c r="DG137" s="45"/>
      <c r="DH137" s="45"/>
      <c r="DI137" s="45"/>
      <c r="DJ137" s="45"/>
      <c r="DK137" s="47"/>
      <c r="DL137" s="47"/>
      <c r="DM137" s="47"/>
      <c r="DN137" s="47"/>
      <c r="DO137" s="47"/>
      <c r="DP137" s="47"/>
      <c r="DQ137" s="47"/>
      <c r="DR137" s="47"/>
      <c r="DS137" s="47"/>
      <c r="DT137" s="47"/>
      <c r="DU137" s="47"/>
      <c r="DV137" s="47"/>
      <c r="DW137" s="47"/>
      <c r="DX137" s="47"/>
      <c r="DY137" s="47"/>
      <c r="DZ137" s="47"/>
      <c r="EA137" s="47"/>
      <c r="EB137" s="47"/>
      <c r="EC137" s="47"/>
      <c r="ED137" s="47"/>
      <c r="EE137" s="47"/>
      <c r="EF137" s="47"/>
      <c r="EG137" s="47"/>
      <c r="EH137" s="47"/>
      <c r="EI137" s="40"/>
      <c r="EJ137" s="40"/>
      <c r="EK137" s="40"/>
      <c r="EL137" s="40"/>
      <c r="EM137" s="40"/>
      <c r="EN137" s="40"/>
      <c r="EO137" s="40"/>
      <c r="EP137" s="40"/>
      <c r="EQ137" s="40"/>
      <c r="ER137" s="40"/>
      <c r="ES137" s="40"/>
      <c r="ET137" s="40"/>
      <c r="EU137" s="40"/>
      <c r="EV137" s="40"/>
      <c r="EW137" s="40"/>
      <c r="EX137" s="40"/>
      <c r="EY137" s="40"/>
      <c r="EZ137" s="40"/>
      <c r="FA137" s="40"/>
      <c r="FB137" s="40"/>
      <c r="FC137" s="40"/>
      <c r="FD137" s="40"/>
      <c r="FE137" s="40"/>
      <c r="FF137" s="40"/>
      <c r="FG137" s="40"/>
      <c r="FH137" s="40"/>
      <c r="FI137" s="40"/>
      <c r="FJ137" s="40"/>
      <c r="FK137" s="40"/>
      <c r="FL137" s="40"/>
      <c r="FM137" s="40"/>
      <c r="FN137" s="40"/>
      <c r="FO137" s="40"/>
      <c r="FP137" s="40"/>
      <c r="FQ137" s="40"/>
      <c r="FR137" s="40"/>
      <c r="FS137" s="40"/>
      <c r="FT137" s="40"/>
      <c r="FU137" s="40"/>
      <c r="FV137" s="40"/>
    </row>
    <row r="138" spans="22:178" s="34" customFormat="1">
      <c r="V138" s="40"/>
      <c r="CX138" s="45"/>
      <c r="CY138" s="45"/>
      <c r="CZ138" s="45"/>
      <c r="DA138" s="45"/>
      <c r="DB138" s="45"/>
      <c r="DC138" s="45"/>
      <c r="DD138" s="45"/>
      <c r="DE138" s="45"/>
      <c r="DF138" s="45"/>
      <c r="DG138" s="45"/>
      <c r="DH138" s="45"/>
      <c r="DI138" s="45"/>
      <c r="DJ138" s="45"/>
      <c r="DK138" s="47"/>
      <c r="DL138" s="47"/>
      <c r="DM138" s="47"/>
      <c r="DN138" s="47"/>
      <c r="DO138" s="47"/>
      <c r="DP138" s="47"/>
      <c r="DQ138" s="47"/>
      <c r="DR138" s="47"/>
      <c r="DS138" s="47"/>
      <c r="DT138" s="47"/>
      <c r="DU138" s="47"/>
      <c r="DV138" s="47"/>
      <c r="DW138" s="47"/>
      <c r="DX138" s="47"/>
      <c r="DY138" s="47"/>
      <c r="DZ138" s="47"/>
      <c r="EA138" s="47"/>
      <c r="EB138" s="47"/>
      <c r="EC138" s="47"/>
      <c r="ED138" s="47"/>
      <c r="EE138" s="47"/>
      <c r="EF138" s="47"/>
      <c r="EG138" s="47"/>
      <c r="EH138" s="47"/>
      <c r="EI138" s="40"/>
      <c r="EJ138" s="40"/>
      <c r="EK138" s="40"/>
      <c r="EL138" s="40"/>
      <c r="EM138" s="40"/>
      <c r="EN138" s="40"/>
      <c r="EO138" s="40"/>
      <c r="EP138" s="40"/>
      <c r="EQ138" s="40"/>
      <c r="ER138" s="40"/>
      <c r="ES138" s="40"/>
      <c r="ET138" s="40"/>
      <c r="EU138" s="40"/>
      <c r="EV138" s="40"/>
      <c r="EW138" s="40"/>
      <c r="EX138" s="40"/>
      <c r="EY138" s="40"/>
      <c r="EZ138" s="40"/>
      <c r="FA138" s="40"/>
      <c r="FB138" s="40"/>
      <c r="FC138" s="40"/>
      <c r="FD138" s="40"/>
      <c r="FE138" s="40"/>
      <c r="FF138" s="40"/>
      <c r="FG138" s="40"/>
      <c r="FH138" s="40"/>
      <c r="FI138" s="40"/>
      <c r="FJ138" s="40"/>
      <c r="FK138" s="40"/>
      <c r="FL138" s="40"/>
      <c r="FM138" s="40"/>
      <c r="FN138" s="40"/>
      <c r="FO138" s="40"/>
      <c r="FP138" s="40"/>
      <c r="FQ138" s="40"/>
      <c r="FR138" s="40"/>
      <c r="FS138" s="40"/>
      <c r="FT138" s="40"/>
      <c r="FU138" s="40"/>
      <c r="FV138" s="40"/>
    </row>
    <row r="139" spans="22:178" s="34" customFormat="1">
      <c r="V139" s="40"/>
      <c r="CX139" s="45"/>
      <c r="CY139" s="45"/>
      <c r="CZ139" s="45"/>
      <c r="DA139" s="45"/>
      <c r="DB139" s="45"/>
      <c r="DC139" s="45"/>
      <c r="DD139" s="45"/>
      <c r="DE139" s="45"/>
      <c r="DF139" s="45"/>
      <c r="DG139" s="45"/>
      <c r="DH139" s="45"/>
      <c r="DI139" s="45"/>
      <c r="DJ139" s="45"/>
      <c r="DK139" s="47"/>
      <c r="DL139" s="47"/>
      <c r="DM139" s="47"/>
      <c r="DN139" s="47"/>
      <c r="DO139" s="47"/>
      <c r="DP139" s="47"/>
      <c r="DQ139" s="47"/>
      <c r="DR139" s="47"/>
      <c r="DS139" s="47"/>
      <c r="DT139" s="47"/>
      <c r="DU139" s="47"/>
      <c r="DV139" s="47"/>
      <c r="DW139" s="47"/>
      <c r="DX139" s="47"/>
      <c r="DY139" s="47"/>
      <c r="DZ139" s="47"/>
      <c r="EA139" s="47"/>
      <c r="EB139" s="47"/>
      <c r="EC139" s="47"/>
      <c r="ED139" s="47"/>
      <c r="EE139" s="47"/>
      <c r="EF139" s="47"/>
      <c r="EG139" s="47"/>
      <c r="EH139" s="47"/>
      <c r="EI139" s="40"/>
      <c r="EJ139" s="40"/>
      <c r="EK139" s="40"/>
      <c r="EL139" s="40"/>
      <c r="EM139" s="40"/>
      <c r="EN139" s="40"/>
      <c r="EO139" s="40"/>
      <c r="EP139" s="40"/>
      <c r="EQ139" s="40"/>
      <c r="ER139" s="40"/>
      <c r="ES139" s="40"/>
      <c r="ET139" s="40"/>
      <c r="EU139" s="40"/>
      <c r="EV139" s="40"/>
      <c r="EW139" s="40"/>
      <c r="EX139" s="40"/>
      <c r="EY139" s="40"/>
      <c r="EZ139" s="40"/>
      <c r="FA139" s="40"/>
      <c r="FB139" s="40"/>
      <c r="FC139" s="40"/>
      <c r="FD139" s="40"/>
      <c r="FE139" s="40"/>
      <c r="FF139" s="40"/>
      <c r="FG139" s="40"/>
      <c r="FH139" s="40"/>
      <c r="FI139" s="40"/>
      <c r="FJ139" s="40"/>
      <c r="FK139" s="40"/>
      <c r="FL139" s="40"/>
      <c r="FM139" s="40"/>
      <c r="FN139" s="40"/>
      <c r="FO139" s="40"/>
      <c r="FP139" s="40"/>
      <c r="FQ139" s="40"/>
      <c r="FR139" s="40"/>
      <c r="FS139" s="40"/>
      <c r="FT139" s="40"/>
      <c r="FU139" s="40"/>
      <c r="FV139" s="40"/>
    </row>
    <row r="140" spans="22:178" s="34" customFormat="1">
      <c r="V140" s="40"/>
      <c r="CX140" s="45"/>
      <c r="CY140" s="45"/>
      <c r="CZ140" s="45"/>
      <c r="DA140" s="45"/>
      <c r="DB140" s="45"/>
      <c r="DC140" s="45"/>
      <c r="DD140" s="45"/>
      <c r="DE140" s="45"/>
      <c r="DF140" s="45"/>
      <c r="DG140" s="45"/>
      <c r="DH140" s="45"/>
      <c r="DI140" s="45"/>
      <c r="DJ140" s="45"/>
      <c r="DK140" s="47"/>
      <c r="DL140" s="47"/>
      <c r="DM140" s="47"/>
      <c r="DN140" s="47"/>
      <c r="DO140" s="47"/>
      <c r="DP140" s="47"/>
      <c r="DQ140" s="47"/>
      <c r="DR140" s="47"/>
      <c r="DS140" s="47"/>
      <c r="DT140" s="47"/>
      <c r="DU140" s="47"/>
      <c r="DV140" s="47"/>
      <c r="DW140" s="47"/>
      <c r="DX140" s="47"/>
      <c r="DY140" s="47"/>
      <c r="DZ140" s="47"/>
      <c r="EA140" s="47"/>
      <c r="EB140" s="47"/>
      <c r="EC140" s="47"/>
      <c r="ED140" s="47"/>
      <c r="EE140" s="47"/>
      <c r="EF140" s="47"/>
      <c r="EG140" s="47"/>
      <c r="EH140" s="47"/>
      <c r="EI140" s="40"/>
      <c r="EJ140" s="40"/>
      <c r="EK140" s="40"/>
      <c r="EL140" s="40"/>
      <c r="EM140" s="40"/>
      <c r="EN140" s="40"/>
      <c r="EO140" s="40"/>
      <c r="EP140" s="40"/>
      <c r="EQ140" s="40"/>
      <c r="ER140" s="40"/>
      <c r="ES140" s="40"/>
      <c r="ET140" s="40"/>
      <c r="EU140" s="40"/>
      <c r="EV140" s="40"/>
      <c r="EW140" s="40"/>
      <c r="EX140" s="40"/>
      <c r="EY140" s="40"/>
      <c r="EZ140" s="40"/>
      <c r="FA140" s="40"/>
      <c r="FB140" s="40"/>
      <c r="FC140" s="40"/>
      <c r="FD140" s="40"/>
      <c r="FE140" s="40"/>
      <c r="FF140" s="40"/>
      <c r="FG140" s="40"/>
      <c r="FH140" s="40"/>
      <c r="FI140" s="40"/>
      <c r="FJ140" s="40"/>
      <c r="FK140" s="40"/>
      <c r="FL140" s="40"/>
      <c r="FM140" s="40"/>
      <c r="FN140" s="40"/>
      <c r="FO140" s="40"/>
      <c r="FP140" s="40"/>
      <c r="FQ140" s="40"/>
      <c r="FR140" s="40"/>
      <c r="FS140" s="40"/>
      <c r="FT140" s="40"/>
      <c r="FU140" s="40"/>
      <c r="FV140" s="40"/>
    </row>
    <row r="141" spans="22:178" s="34" customFormat="1">
      <c r="V141" s="40"/>
      <c r="CX141" s="45"/>
      <c r="CY141" s="45"/>
      <c r="CZ141" s="45"/>
      <c r="DA141" s="45"/>
      <c r="DB141" s="45"/>
      <c r="DC141" s="45"/>
      <c r="DD141" s="45"/>
      <c r="DE141" s="45"/>
      <c r="DF141" s="45"/>
      <c r="DG141" s="45"/>
      <c r="DH141" s="45"/>
      <c r="DI141" s="45"/>
      <c r="DJ141" s="45"/>
      <c r="DK141" s="47"/>
      <c r="DL141" s="47"/>
      <c r="DM141" s="47"/>
      <c r="DN141" s="47"/>
      <c r="DO141" s="47"/>
      <c r="DP141" s="47"/>
      <c r="DQ141" s="47"/>
      <c r="DR141" s="47"/>
      <c r="DS141" s="47"/>
      <c r="DT141" s="47"/>
      <c r="DU141" s="47"/>
      <c r="DV141" s="47"/>
      <c r="DW141" s="47"/>
      <c r="DX141" s="47"/>
      <c r="DY141" s="47"/>
      <c r="DZ141" s="47"/>
      <c r="EA141" s="47"/>
      <c r="EB141" s="47"/>
      <c r="EC141" s="47"/>
      <c r="ED141" s="47"/>
      <c r="EE141" s="47"/>
      <c r="EF141" s="47"/>
      <c r="EG141" s="47"/>
      <c r="EH141" s="47"/>
      <c r="EI141" s="40"/>
      <c r="EJ141" s="40"/>
      <c r="EK141" s="40"/>
      <c r="EL141" s="40"/>
      <c r="EM141" s="40"/>
      <c r="EN141" s="40"/>
      <c r="EO141" s="40"/>
      <c r="EP141" s="40"/>
      <c r="EQ141" s="40"/>
      <c r="ER141" s="40"/>
      <c r="ES141" s="40"/>
      <c r="ET141" s="40"/>
      <c r="EU141" s="40"/>
      <c r="EV141" s="40"/>
      <c r="EW141" s="40"/>
      <c r="EX141" s="40"/>
      <c r="EY141" s="40"/>
      <c r="EZ141" s="40"/>
      <c r="FA141" s="40"/>
      <c r="FB141" s="40"/>
      <c r="FC141" s="40"/>
      <c r="FD141" s="40"/>
      <c r="FE141" s="40"/>
      <c r="FF141" s="40"/>
      <c r="FG141" s="40"/>
      <c r="FH141" s="40"/>
      <c r="FI141" s="40"/>
      <c r="FJ141" s="40"/>
      <c r="FK141" s="40"/>
      <c r="FL141" s="40"/>
      <c r="FM141" s="40"/>
      <c r="FN141" s="40"/>
      <c r="FO141" s="40"/>
      <c r="FP141" s="40"/>
      <c r="FQ141" s="40"/>
      <c r="FR141" s="40"/>
      <c r="FS141" s="40"/>
      <c r="FT141" s="40"/>
      <c r="FU141" s="40"/>
      <c r="FV141" s="40"/>
    </row>
    <row r="142" spans="22:178" s="34" customFormat="1">
      <c r="V142" s="40"/>
      <c r="CX142" s="45"/>
      <c r="CY142" s="45"/>
      <c r="CZ142" s="45"/>
      <c r="DA142" s="45"/>
      <c r="DB142" s="45"/>
      <c r="DC142" s="45"/>
      <c r="DD142" s="45"/>
      <c r="DE142" s="45"/>
      <c r="DF142" s="45"/>
      <c r="DG142" s="45"/>
      <c r="DH142" s="45"/>
      <c r="DI142" s="45"/>
      <c r="DJ142" s="45"/>
      <c r="DK142" s="47"/>
      <c r="DL142" s="47"/>
      <c r="DM142" s="47"/>
      <c r="DN142" s="47"/>
      <c r="DO142" s="47"/>
      <c r="DP142" s="47"/>
      <c r="DQ142" s="47"/>
      <c r="DR142" s="47"/>
      <c r="DS142" s="47"/>
      <c r="DT142" s="47"/>
      <c r="DU142" s="47"/>
      <c r="DV142" s="47"/>
      <c r="DW142" s="47"/>
      <c r="DX142" s="47"/>
      <c r="DY142" s="47"/>
      <c r="DZ142" s="47"/>
      <c r="EA142" s="47"/>
      <c r="EB142" s="47"/>
      <c r="EC142" s="47"/>
      <c r="ED142" s="47"/>
      <c r="EE142" s="47"/>
      <c r="EF142" s="47"/>
      <c r="EG142" s="47"/>
      <c r="EH142" s="47"/>
      <c r="EI142" s="40"/>
      <c r="EJ142" s="40"/>
      <c r="EK142" s="40"/>
      <c r="EL142" s="40"/>
      <c r="EM142" s="40"/>
      <c r="EN142" s="40"/>
      <c r="EO142" s="40"/>
      <c r="EP142" s="40"/>
      <c r="EQ142" s="40"/>
      <c r="ER142" s="40"/>
      <c r="ES142" s="40"/>
      <c r="ET142" s="40"/>
      <c r="EU142" s="40"/>
      <c r="EV142" s="40"/>
      <c r="EW142" s="40"/>
      <c r="EX142" s="40"/>
      <c r="EY142" s="40"/>
      <c r="EZ142" s="40"/>
      <c r="FA142" s="40"/>
      <c r="FB142" s="40"/>
      <c r="FC142" s="40"/>
      <c r="FD142" s="40"/>
      <c r="FE142" s="40"/>
      <c r="FF142" s="40"/>
      <c r="FG142" s="40"/>
      <c r="FH142" s="40"/>
      <c r="FI142" s="40"/>
      <c r="FJ142" s="40"/>
      <c r="FK142" s="40"/>
      <c r="FL142" s="40"/>
      <c r="FM142" s="40"/>
      <c r="FN142" s="40"/>
      <c r="FO142" s="40"/>
      <c r="FP142" s="40"/>
      <c r="FQ142" s="40"/>
      <c r="FR142" s="40"/>
      <c r="FS142" s="40"/>
      <c r="FT142" s="40"/>
      <c r="FU142" s="40"/>
      <c r="FV142" s="40"/>
    </row>
    <row r="143" spans="22:178" s="34" customFormat="1">
      <c r="V143" s="40"/>
      <c r="CX143" s="45"/>
      <c r="CY143" s="45"/>
      <c r="CZ143" s="45"/>
      <c r="DA143" s="45"/>
      <c r="DB143" s="45"/>
      <c r="DC143" s="45"/>
      <c r="DD143" s="45"/>
      <c r="DE143" s="45"/>
      <c r="DF143" s="45"/>
      <c r="DG143" s="45"/>
      <c r="DH143" s="45"/>
      <c r="DI143" s="45"/>
      <c r="DJ143" s="45"/>
      <c r="DK143" s="47"/>
      <c r="DL143" s="47"/>
      <c r="DM143" s="47"/>
      <c r="DN143" s="47"/>
      <c r="DO143" s="47"/>
      <c r="DP143" s="47"/>
      <c r="DQ143" s="47"/>
      <c r="DR143" s="47"/>
      <c r="DS143" s="47"/>
      <c r="DT143" s="47"/>
      <c r="DU143" s="47"/>
      <c r="DV143" s="47"/>
      <c r="DW143" s="47"/>
      <c r="DX143" s="47"/>
      <c r="DY143" s="47"/>
      <c r="DZ143" s="47"/>
      <c r="EA143" s="47"/>
      <c r="EB143" s="47"/>
      <c r="EC143" s="47"/>
      <c r="ED143" s="47"/>
      <c r="EE143" s="47"/>
      <c r="EF143" s="47"/>
      <c r="EG143" s="47"/>
      <c r="EH143" s="47"/>
      <c r="EI143" s="40"/>
      <c r="EJ143" s="40"/>
      <c r="EK143" s="40"/>
      <c r="EL143" s="40"/>
      <c r="EM143" s="40"/>
      <c r="EN143" s="40"/>
      <c r="EO143" s="40"/>
      <c r="EP143" s="40"/>
      <c r="EQ143" s="40"/>
      <c r="ER143" s="40"/>
      <c r="ES143" s="40"/>
      <c r="ET143" s="40"/>
      <c r="EU143" s="40"/>
      <c r="EV143" s="40"/>
      <c r="EW143" s="40"/>
      <c r="EX143" s="40"/>
      <c r="EY143" s="40"/>
      <c r="EZ143" s="40"/>
      <c r="FA143" s="40"/>
      <c r="FB143" s="40"/>
      <c r="FC143" s="40"/>
      <c r="FD143" s="40"/>
      <c r="FE143" s="40"/>
      <c r="FF143" s="40"/>
      <c r="FG143" s="40"/>
      <c r="FH143" s="40"/>
      <c r="FI143" s="40"/>
      <c r="FJ143" s="40"/>
      <c r="FK143" s="40"/>
      <c r="FL143" s="40"/>
      <c r="FM143" s="40"/>
      <c r="FN143" s="40"/>
      <c r="FO143" s="40"/>
      <c r="FP143" s="40"/>
      <c r="FQ143" s="40"/>
      <c r="FR143" s="40"/>
      <c r="FS143" s="40"/>
      <c r="FT143" s="40"/>
      <c r="FU143" s="40"/>
      <c r="FV143" s="40"/>
    </row>
    <row r="144" spans="22:178" s="34" customFormat="1">
      <c r="V144" s="40"/>
      <c r="CX144" s="45"/>
      <c r="CY144" s="45"/>
      <c r="CZ144" s="45"/>
      <c r="DA144" s="45"/>
      <c r="DB144" s="45"/>
      <c r="DC144" s="45"/>
      <c r="DD144" s="45"/>
      <c r="DE144" s="45"/>
      <c r="DF144" s="45"/>
      <c r="DG144" s="45"/>
      <c r="DH144" s="45"/>
      <c r="DI144" s="45"/>
      <c r="DJ144" s="45"/>
      <c r="DK144" s="47"/>
      <c r="DL144" s="47"/>
      <c r="DM144" s="47"/>
      <c r="DN144" s="47"/>
      <c r="DO144" s="47"/>
      <c r="DP144" s="47"/>
      <c r="DQ144" s="47"/>
      <c r="DR144" s="47"/>
      <c r="DS144" s="47"/>
      <c r="DT144" s="47"/>
      <c r="DU144" s="47"/>
      <c r="DV144" s="47"/>
      <c r="DW144" s="47"/>
      <c r="DX144" s="47"/>
      <c r="DY144" s="47"/>
      <c r="DZ144" s="47"/>
      <c r="EA144" s="47"/>
      <c r="EB144" s="47"/>
      <c r="EC144" s="47"/>
      <c r="ED144" s="47"/>
      <c r="EE144" s="47"/>
      <c r="EF144" s="47"/>
      <c r="EG144" s="47"/>
      <c r="EH144" s="47"/>
      <c r="EI144" s="40"/>
      <c r="EJ144" s="40"/>
      <c r="EK144" s="40"/>
      <c r="EL144" s="40"/>
      <c r="EM144" s="40"/>
      <c r="EN144" s="40"/>
      <c r="EO144" s="40"/>
      <c r="EP144" s="40"/>
      <c r="EQ144" s="40"/>
      <c r="ER144" s="40"/>
      <c r="ES144" s="40"/>
      <c r="ET144" s="40"/>
      <c r="EU144" s="40"/>
      <c r="EV144" s="40"/>
      <c r="EW144" s="40"/>
      <c r="EX144" s="40"/>
      <c r="EY144" s="40"/>
      <c r="EZ144" s="40"/>
      <c r="FA144" s="40"/>
      <c r="FB144" s="40"/>
      <c r="FC144" s="40"/>
      <c r="FD144" s="40"/>
      <c r="FE144" s="40"/>
      <c r="FF144" s="40"/>
      <c r="FG144" s="40"/>
      <c r="FH144" s="40"/>
      <c r="FI144" s="40"/>
      <c r="FJ144" s="40"/>
      <c r="FK144" s="40"/>
      <c r="FL144" s="40"/>
      <c r="FM144" s="40"/>
      <c r="FN144" s="40"/>
      <c r="FO144" s="40"/>
      <c r="FP144" s="40"/>
      <c r="FQ144" s="40"/>
      <c r="FR144" s="40"/>
      <c r="FS144" s="40"/>
      <c r="FT144" s="40"/>
      <c r="FU144" s="40"/>
      <c r="FV144" s="40"/>
    </row>
    <row r="145" spans="22:178" s="34" customFormat="1">
      <c r="V145" s="40"/>
      <c r="CX145" s="45"/>
      <c r="CY145" s="45"/>
      <c r="CZ145" s="45"/>
      <c r="DA145" s="45"/>
      <c r="DB145" s="45"/>
      <c r="DC145" s="45"/>
      <c r="DD145" s="45"/>
      <c r="DE145" s="45"/>
      <c r="DF145" s="45"/>
      <c r="DG145" s="45"/>
      <c r="DH145" s="45"/>
      <c r="DI145" s="45"/>
      <c r="DJ145" s="45"/>
      <c r="DK145" s="47"/>
      <c r="DL145" s="47"/>
      <c r="DM145" s="47"/>
      <c r="DN145" s="47"/>
      <c r="DO145" s="47"/>
      <c r="DP145" s="47"/>
      <c r="DQ145" s="47"/>
      <c r="DR145" s="47"/>
      <c r="DS145" s="47"/>
      <c r="DT145" s="47"/>
      <c r="DU145" s="47"/>
      <c r="DV145" s="47"/>
      <c r="DW145" s="47"/>
      <c r="DX145" s="47"/>
      <c r="DY145" s="47"/>
      <c r="DZ145" s="47"/>
      <c r="EA145" s="47"/>
      <c r="EB145" s="47"/>
      <c r="EC145" s="47"/>
      <c r="ED145" s="47"/>
      <c r="EE145" s="47"/>
      <c r="EF145" s="47"/>
      <c r="EG145" s="47"/>
      <c r="EH145" s="47"/>
      <c r="EI145" s="40"/>
      <c r="EJ145" s="40"/>
      <c r="EK145" s="40"/>
      <c r="EL145" s="40"/>
      <c r="EM145" s="40"/>
      <c r="EN145" s="40"/>
      <c r="EO145" s="40"/>
      <c r="EP145" s="40"/>
      <c r="EQ145" s="40"/>
      <c r="ER145" s="40"/>
      <c r="ES145" s="40"/>
      <c r="ET145" s="40"/>
      <c r="EU145" s="40"/>
      <c r="EV145" s="40"/>
      <c r="EW145" s="40"/>
      <c r="EX145" s="40"/>
      <c r="EY145" s="40"/>
      <c r="EZ145" s="40"/>
      <c r="FA145" s="40"/>
      <c r="FB145" s="40"/>
      <c r="FC145" s="40"/>
      <c r="FD145" s="40"/>
      <c r="FE145" s="40"/>
      <c r="FF145" s="40"/>
      <c r="FG145" s="40"/>
      <c r="FH145" s="40"/>
      <c r="FI145" s="40"/>
      <c r="FJ145" s="40"/>
      <c r="FK145" s="40"/>
      <c r="FL145" s="40"/>
      <c r="FM145" s="40"/>
      <c r="FN145" s="40"/>
      <c r="FO145" s="40"/>
      <c r="FP145" s="40"/>
      <c r="FQ145" s="40"/>
      <c r="FR145" s="40"/>
      <c r="FS145" s="40"/>
      <c r="FT145" s="40"/>
      <c r="FU145" s="40"/>
      <c r="FV145" s="40"/>
    </row>
    <row r="146" spans="22:178" s="34" customFormat="1">
      <c r="V146" s="40"/>
      <c r="CX146" s="45"/>
      <c r="CY146" s="45"/>
      <c r="CZ146" s="45"/>
      <c r="DA146" s="45"/>
      <c r="DB146" s="45"/>
      <c r="DC146" s="45"/>
      <c r="DD146" s="45"/>
      <c r="DE146" s="45"/>
      <c r="DF146" s="45"/>
      <c r="DG146" s="45"/>
      <c r="DH146" s="45"/>
      <c r="DI146" s="45"/>
      <c r="DJ146" s="45"/>
      <c r="DK146" s="47"/>
      <c r="DL146" s="47"/>
      <c r="DM146" s="47"/>
      <c r="DN146" s="47"/>
      <c r="DO146" s="47"/>
      <c r="DP146" s="47"/>
      <c r="DQ146" s="47"/>
      <c r="DR146" s="47"/>
      <c r="DS146" s="47"/>
      <c r="DT146" s="47"/>
      <c r="DU146" s="47"/>
      <c r="DV146" s="47"/>
      <c r="DW146" s="47"/>
      <c r="DX146" s="47"/>
      <c r="DY146" s="47"/>
      <c r="DZ146" s="47"/>
      <c r="EA146" s="47"/>
      <c r="EB146" s="47"/>
      <c r="EC146" s="47"/>
      <c r="ED146" s="47"/>
      <c r="EE146" s="47"/>
      <c r="EF146" s="47"/>
      <c r="EG146" s="47"/>
      <c r="EH146" s="47"/>
      <c r="EI146" s="40"/>
      <c r="EJ146" s="40"/>
      <c r="EK146" s="40"/>
      <c r="EL146" s="40"/>
      <c r="EM146" s="40"/>
      <c r="EN146" s="40"/>
      <c r="EO146" s="40"/>
      <c r="EP146" s="40"/>
      <c r="EQ146" s="40"/>
      <c r="ER146" s="40"/>
      <c r="ES146" s="40"/>
      <c r="ET146" s="40"/>
      <c r="EU146" s="40"/>
      <c r="EV146" s="40"/>
      <c r="EW146" s="40"/>
      <c r="EX146" s="40"/>
      <c r="EY146" s="40"/>
      <c r="EZ146" s="40"/>
      <c r="FA146" s="40"/>
      <c r="FB146" s="40"/>
      <c r="FC146" s="40"/>
      <c r="FD146" s="40"/>
      <c r="FE146" s="40"/>
      <c r="FF146" s="40"/>
      <c r="FG146" s="40"/>
      <c r="FH146" s="40"/>
      <c r="FI146" s="40"/>
      <c r="FJ146" s="40"/>
      <c r="FK146" s="40"/>
      <c r="FL146" s="40"/>
      <c r="FM146" s="40"/>
      <c r="FN146" s="40"/>
      <c r="FO146" s="40"/>
      <c r="FP146" s="40"/>
      <c r="FQ146" s="40"/>
      <c r="FR146" s="40"/>
      <c r="FS146" s="40"/>
      <c r="FT146" s="40"/>
      <c r="FU146" s="40"/>
      <c r="FV146" s="40"/>
    </row>
    <row r="147" spans="22:178" s="34" customFormat="1">
      <c r="V147" s="40"/>
      <c r="CX147" s="45"/>
      <c r="CY147" s="45"/>
      <c r="CZ147" s="45"/>
      <c r="DA147" s="45"/>
      <c r="DB147" s="45"/>
      <c r="DC147" s="45"/>
      <c r="DD147" s="45"/>
      <c r="DE147" s="45"/>
      <c r="DF147" s="45"/>
      <c r="DG147" s="45"/>
      <c r="DH147" s="45"/>
      <c r="DI147" s="45"/>
      <c r="DJ147" s="45"/>
      <c r="DK147" s="47"/>
      <c r="DL147" s="47"/>
      <c r="DM147" s="47"/>
      <c r="DN147" s="47"/>
      <c r="DO147" s="47"/>
      <c r="DP147" s="47"/>
      <c r="DQ147" s="47"/>
      <c r="DR147" s="47"/>
      <c r="DS147" s="47"/>
      <c r="DT147" s="47"/>
      <c r="DU147" s="47"/>
      <c r="DV147" s="47"/>
      <c r="DW147" s="47"/>
      <c r="DX147" s="47"/>
      <c r="DY147" s="47"/>
      <c r="DZ147" s="47"/>
      <c r="EA147" s="47"/>
      <c r="EB147" s="47"/>
      <c r="EC147" s="47"/>
      <c r="ED147" s="47"/>
      <c r="EE147" s="47"/>
      <c r="EF147" s="47"/>
      <c r="EG147" s="47"/>
      <c r="EH147" s="47"/>
      <c r="EI147" s="40"/>
      <c r="EJ147" s="40"/>
      <c r="EK147" s="40"/>
      <c r="EL147" s="40"/>
      <c r="EM147" s="40"/>
      <c r="EN147" s="40"/>
      <c r="EO147" s="40"/>
      <c r="EP147" s="40"/>
      <c r="EQ147" s="40"/>
      <c r="ER147" s="40"/>
      <c r="ES147" s="40"/>
      <c r="ET147" s="40"/>
      <c r="EU147" s="40"/>
      <c r="EV147" s="40"/>
      <c r="EW147" s="40"/>
      <c r="EX147" s="40"/>
      <c r="EY147" s="40"/>
      <c r="EZ147" s="40"/>
      <c r="FA147" s="40"/>
      <c r="FB147" s="40"/>
      <c r="FC147" s="40"/>
      <c r="FD147" s="40"/>
      <c r="FE147" s="40"/>
      <c r="FF147" s="40"/>
      <c r="FG147" s="40"/>
      <c r="FH147" s="40"/>
      <c r="FI147" s="40"/>
      <c r="FJ147" s="40"/>
      <c r="FK147" s="40"/>
      <c r="FL147" s="40"/>
      <c r="FM147" s="40"/>
      <c r="FN147" s="40"/>
      <c r="FO147" s="40"/>
      <c r="FP147" s="40"/>
      <c r="FQ147" s="40"/>
      <c r="FR147" s="40"/>
      <c r="FS147" s="40"/>
      <c r="FT147" s="40"/>
      <c r="FU147" s="40"/>
      <c r="FV147" s="40"/>
    </row>
    <row r="148" spans="22:178" s="34" customFormat="1">
      <c r="V148" s="40"/>
      <c r="CX148" s="45"/>
      <c r="CY148" s="45"/>
      <c r="CZ148" s="45"/>
      <c r="DA148" s="45"/>
      <c r="DB148" s="45"/>
      <c r="DC148" s="45"/>
      <c r="DD148" s="45"/>
      <c r="DE148" s="45"/>
      <c r="DF148" s="45"/>
      <c r="DG148" s="45"/>
      <c r="DH148" s="45"/>
      <c r="DI148" s="45"/>
      <c r="DJ148" s="45"/>
      <c r="DK148" s="47"/>
      <c r="DL148" s="47"/>
      <c r="DM148" s="47"/>
      <c r="DN148" s="47"/>
      <c r="DO148" s="47"/>
      <c r="DP148" s="47"/>
      <c r="DQ148" s="47"/>
      <c r="DR148" s="47"/>
      <c r="DS148" s="47"/>
      <c r="DT148" s="47"/>
      <c r="DU148" s="47"/>
      <c r="DV148" s="47"/>
      <c r="DW148" s="47"/>
      <c r="DX148" s="47"/>
      <c r="DY148" s="47"/>
      <c r="DZ148" s="47"/>
      <c r="EA148" s="47"/>
      <c r="EB148" s="47"/>
      <c r="EC148" s="47"/>
      <c r="ED148" s="47"/>
      <c r="EE148" s="47"/>
      <c r="EF148" s="47"/>
      <c r="EG148" s="47"/>
      <c r="EH148" s="47"/>
      <c r="EI148" s="40"/>
      <c r="EJ148" s="40"/>
      <c r="EK148" s="40"/>
      <c r="EL148" s="40"/>
      <c r="EM148" s="40"/>
      <c r="EN148" s="40"/>
      <c r="EO148" s="40"/>
      <c r="EP148" s="40"/>
      <c r="EQ148" s="40"/>
      <c r="ER148" s="40"/>
      <c r="ES148" s="40"/>
      <c r="ET148" s="40"/>
      <c r="EU148" s="40"/>
      <c r="EV148" s="40"/>
      <c r="EW148" s="40"/>
      <c r="EX148" s="40"/>
      <c r="EY148" s="40"/>
      <c r="EZ148" s="40"/>
      <c r="FA148" s="40"/>
      <c r="FB148" s="40"/>
      <c r="FC148" s="40"/>
      <c r="FD148" s="40"/>
      <c r="FE148" s="40"/>
      <c r="FF148" s="40"/>
      <c r="FG148" s="40"/>
      <c r="FH148" s="40"/>
      <c r="FI148" s="40"/>
      <c r="FJ148" s="40"/>
      <c r="FK148" s="40"/>
      <c r="FL148" s="40"/>
      <c r="FM148" s="40"/>
      <c r="FN148" s="40"/>
      <c r="FO148" s="40"/>
      <c r="FP148" s="40"/>
      <c r="FQ148" s="40"/>
      <c r="FR148" s="40"/>
      <c r="FS148" s="40"/>
      <c r="FT148" s="40"/>
      <c r="FU148" s="40"/>
      <c r="FV148" s="40"/>
    </row>
    <row r="149" spans="22:178" s="34" customFormat="1">
      <c r="V149" s="40"/>
      <c r="CX149" s="45"/>
      <c r="CY149" s="45"/>
      <c r="CZ149" s="45"/>
      <c r="DA149" s="45"/>
      <c r="DB149" s="45"/>
      <c r="DC149" s="45"/>
      <c r="DD149" s="45"/>
      <c r="DE149" s="45"/>
      <c r="DF149" s="45"/>
      <c r="DG149" s="45"/>
      <c r="DH149" s="45"/>
      <c r="DI149" s="45"/>
      <c r="DJ149" s="45"/>
      <c r="DK149" s="47"/>
      <c r="DL149" s="47"/>
      <c r="DM149" s="47"/>
      <c r="DN149" s="47"/>
      <c r="DO149" s="47"/>
      <c r="DP149" s="47"/>
      <c r="DQ149" s="47"/>
      <c r="DR149" s="47"/>
      <c r="DS149" s="47"/>
      <c r="DT149" s="47"/>
      <c r="DU149" s="47"/>
      <c r="DV149" s="47"/>
      <c r="DW149" s="47"/>
      <c r="DX149" s="47"/>
      <c r="DY149" s="47"/>
      <c r="DZ149" s="47"/>
      <c r="EA149" s="47"/>
      <c r="EB149" s="47"/>
      <c r="EC149" s="47"/>
      <c r="ED149" s="47"/>
      <c r="EE149" s="47"/>
      <c r="EF149" s="47"/>
      <c r="EG149" s="47"/>
      <c r="EH149" s="47"/>
      <c r="EI149" s="40"/>
      <c r="EJ149" s="40"/>
      <c r="EK149" s="40"/>
      <c r="EL149" s="40"/>
      <c r="EM149" s="40"/>
      <c r="EN149" s="40"/>
      <c r="EO149" s="40"/>
      <c r="EP149" s="40"/>
      <c r="EQ149" s="40"/>
      <c r="ER149" s="40"/>
      <c r="ES149" s="40"/>
      <c r="ET149" s="40"/>
      <c r="EU149" s="40"/>
      <c r="EV149" s="40"/>
      <c r="EW149" s="40"/>
      <c r="EX149" s="40"/>
      <c r="EY149" s="40"/>
      <c r="EZ149" s="40"/>
      <c r="FA149" s="40"/>
      <c r="FB149" s="40"/>
      <c r="FC149" s="40"/>
      <c r="FD149" s="40"/>
      <c r="FE149" s="40"/>
      <c r="FF149" s="40"/>
      <c r="FG149" s="40"/>
      <c r="FH149" s="40"/>
      <c r="FI149" s="40"/>
      <c r="FJ149" s="40"/>
      <c r="FK149" s="40"/>
      <c r="FL149" s="40"/>
      <c r="FM149" s="40"/>
      <c r="FN149" s="40"/>
      <c r="FO149" s="40"/>
      <c r="FP149" s="40"/>
      <c r="FQ149" s="40"/>
      <c r="FR149" s="40"/>
      <c r="FS149" s="40"/>
      <c r="FT149" s="40"/>
      <c r="FU149" s="40"/>
      <c r="FV149" s="40"/>
    </row>
    <row r="150" spans="22:178" s="34" customFormat="1">
      <c r="V150" s="40"/>
      <c r="CX150" s="45"/>
      <c r="CY150" s="45"/>
      <c r="CZ150" s="45"/>
      <c r="DA150" s="45"/>
      <c r="DB150" s="45"/>
      <c r="DC150" s="45"/>
      <c r="DD150" s="45"/>
      <c r="DE150" s="45"/>
      <c r="DF150" s="45"/>
      <c r="DG150" s="45"/>
      <c r="DH150" s="45"/>
      <c r="DI150" s="45"/>
      <c r="DJ150" s="45"/>
      <c r="DK150" s="47"/>
      <c r="DL150" s="47"/>
      <c r="DM150" s="47"/>
      <c r="DN150" s="47"/>
      <c r="DO150" s="47"/>
      <c r="DP150" s="47"/>
      <c r="DQ150" s="47"/>
      <c r="DR150" s="47"/>
      <c r="DS150" s="47"/>
      <c r="DT150" s="47"/>
      <c r="DU150" s="47"/>
      <c r="DV150" s="47"/>
      <c r="DW150" s="47"/>
      <c r="DX150" s="47"/>
      <c r="DY150" s="47"/>
      <c r="DZ150" s="47"/>
      <c r="EA150" s="47"/>
      <c r="EB150" s="47"/>
      <c r="EC150" s="47"/>
      <c r="ED150" s="47"/>
      <c r="EE150" s="47"/>
      <c r="EF150" s="47"/>
      <c r="EG150" s="47"/>
      <c r="EH150" s="47"/>
      <c r="EI150" s="40"/>
      <c r="EJ150" s="40"/>
      <c r="EK150" s="40"/>
      <c r="EL150" s="40"/>
      <c r="EM150" s="40"/>
      <c r="EN150" s="40"/>
      <c r="EO150" s="40"/>
      <c r="EP150" s="40"/>
      <c r="EQ150" s="40"/>
      <c r="ER150" s="40"/>
      <c r="ES150" s="40"/>
      <c r="ET150" s="40"/>
      <c r="EU150" s="40"/>
      <c r="EV150" s="40"/>
      <c r="EW150" s="40"/>
      <c r="EX150" s="40"/>
      <c r="EY150" s="40"/>
      <c r="EZ150" s="40"/>
      <c r="FA150" s="40"/>
      <c r="FB150" s="40"/>
      <c r="FC150" s="40"/>
      <c r="FD150" s="40"/>
      <c r="FE150" s="40"/>
      <c r="FF150" s="40"/>
      <c r="FG150" s="40"/>
      <c r="FH150" s="40"/>
      <c r="FI150" s="40"/>
      <c r="FJ150" s="40"/>
      <c r="FK150" s="40"/>
      <c r="FL150" s="40"/>
      <c r="FM150" s="40"/>
      <c r="FN150" s="40"/>
      <c r="FO150" s="40"/>
      <c r="FP150" s="40"/>
      <c r="FQ150" s="40"/>
      <c r="FR150" s="40"/>
      <c r="FS150" s="40"/>
      <c r="FT150" s="40"/>
      <c r="FU150" s="40"/>
      <c r="FV150" s="40"/>
    </row>
    <row r="151" spans="22:178" s="34" customFormat="1">
      <c r="V151" s="40"/>
      <c r="CX151" s="45"/>
      <c r="CY151" s="45"/>
      <c r="CZ151" s="45"/>
      <c r="DA151" s="45"/>
      <c r="DB151" s="45"/>
      <c r="DC151" s="45"/>
      <c r="DD151" s="45"/>
      <c r="DE151" s="45"/>
      <c r="DF151" s="45"/>
      <c r="DG151" s="45"/>
      <c r="DH151" s="45"/>
      <c r="DI151" s="45"/>
      <c r="DJ151" s="45"/>
      <c r="DK151" s="47"/>
      <c r="DL151" s="47"/>
      <c r="DM151" s="47"/>
      <c r="DN151" s="47"/>
      <c r="DO151" s="47"/>
      <c r="DP151" s="47"/>
      <c r="DQ151" s="47"/>
      <c r="DR151" s="47"/>
      <c r="DS151" s="47"/>
      <c r="DT151" s="47"/>
      <c r="DU151" s="47"/>
      <c r="DV151" s="47"/>
      <c r="DW151" s="47"/>
      <c r="DX151" s="47"/>
      <c r="DY151" s="47"/>
      <c r="DZ151" s="47"/>
      <c r="EA151" s="47"/>
      <c r="EB151" s="47"/>
      <c r="EC151" s="47"/>
      <c r="ED151" s="47"/>
      <c r="EE151" s="47"/>
      <c r="EF151" s="47"/>
      <c r="EG151" s="47"/>
      <c r="EH151" s="47"/>
      <c r="EI151" s="40"/>
      <c r="EJ151" s="40"/>
      <c r="EK151" s="40"/>
      <c r="EL151" s="40"/>
      <c r="EM151" s="40"/>
      <c r="EN151" s="40"/>
      <c r="EO151" s="40"/>
      <c r="EP151" s="40"/>
      <c r="EQ151" s="40"/>
      <c r="ER151" s="40"/>
      <c r="ES151" s="40"/>
      <c r="ET151" s="40"/>
      <c r="EU151" s="40"/>
      <c r="EV151" s="40"/>
      <c r="EW151" s="40"/>
      <c r="EX151" s="40"/>
      <c r="EY151" s="40"/>
      <c r="EZ151" s="40"/>
      <c r="FA151" s="40"/>
      <c r="FB151" s="40"/>
      <c r="FC151" s="40"/>
      <c r="FD151" s="40"/>
      <c r="FE151" s="40"/>
      <c r="FF151" s="40"/>
      <c r="FG151" s="40"/>
      <c r="FH151" s="40"/>
      <c r="FI151" s="40"/>
      <c r="FJ151" s="40"/>
      <c r="FK151" s="40"/>
      <c r="FL151" s="40"/>
      <c r="FM151" s="40"/>
      <c r="FN151" s="40"/>
      <c r="FO151" s="40"/>
      <c r="FP151" s="40"/>
      <c r="FQ151" s="40"/>
      <c r="FR151" s="40"/>
      <c r="FS151" s="40"/>
      <c r="FT151" s="40"/>
      <c r="FU151" s="40"/>
      <c r="FV151" s="40"/>
    </row>
    <row r="152" spans="22:178" s="34" customFormat="1">
      <c r="V152" s="40"/>
      <c r="DK152" s="40"/>
      <c r="DL152" s="40"/>
      <c r="DM152" s="40"/>
      <c r="DN152" s="40"/>
      <c r="DO152" s="40"/>
      <c r="DP152" s="40"/>
      <c r="DQ152" s="40"/>
      <c r="DR152" s="40"/>
      <c r="DS152" s="40"/>
      <c r="DT152" s="40"/>
      <c r="DU152" s="40"/>
      <c r="DV152" s="40"/>
      <c r="DW152" s="40"/>
      <c r="DX152" s="40"/>
      <c r="DY152" s="40"/>
      <c r="DZ152" s="40"/>
      <c r="EA152" s="40"/>
      <c r="EB152" s="40"/>
      <c r="EC152" s="40"/>
      <c r="ED152" s="40"/>
      <c r="EE152" s="40"/>
      <c r="EF152" s="40"/>
      <c r="EG152" s="40"/>
      <c r="EH152" s="40"/>
      <c r="EI152" s="40"/>
      <c r="EJ152" s="40"/>
      <c r="EK152" s="40"/>
      <c r="EL152" s="40"/>
      <c r="EM152" s="40"/>
      <c r="EN152" s="40"/>
      <c r="EO152" s="40"/>
      <c r="EP152" s="40"/>
      <c r="EQ152" s="40"/>
      <c r="ER152" s="40"/>
      <c r="ES152" s="40"/>
      <c r="ET152" s="40"/>
      <c r="EU152" s="40"/>
      <c r="EV152" s="40"/>
      <c r="EW152" s="40"/>
      <c r="EX152" s="40"/>
      <c r="EY152" s="40"/>
      <c r="EZ152" s="40"/>
      <c r="FA152" s="40"/>
      <c r="FB152" s="40"/>
      <c r="FC152" s="40"/>
      <c r="FD152" s="40"/>
      <c r="FE152" s="40"/>
      <c r="FF152" s="40"/>
      <c r="FG152" s="40"/>
      <c r="FH152" s="40"/>
      <c r="FI152" s="40"/>
      <c r="FJ152" s="40"/>
      <c r="FK152" s="40"/>
      <c r="FL152" s="40"/>
      <c r="FM152" s="40"/>
      <c r="FN152" s="40"/>
      <c r="FO152" s="40"/>
      <c r="FP152" s="40"/>
      <c r="FQ152" s="40"/>
      <c r="FR152" s="40"/>
      <c r="FS152" s="40"/>
      <c r="FT152" s="40"/>
      <c r="FU152" s="40"/>
      <c r="FV152" s="40"/>
    </row>
    <row r="153" spans="22:178" s="34" customFormat="1">
      <c r="V153" s="40"/>
      <c r="DK153" s="40"/>
      <c r="DL153" s="40"/>
      <c r="DM153" s="40"/>
      <c r="DN153" s="40"/>
      <c r="DO153" s="40"/>
      <c r="DP153" s="40"/>
      <c r="DQ153" s="40"/>
      <c r="DR153" s="40"/>
      <c r="DS153" s="40"/>
      <c r="DT153" s="40"/>
      <c r="DU153" s="40"/>
      <c r="DV153" s="40"/>
      <c r="DW153" s="40"/>
      <c r="DX153" s="40"/>
      <c r="DY153" s="40"/>
      <c r="DZ153" s="40"/>
      <c r="EA153" s="40"/>
      <c r="EB153" s="40"/>
      <c r="EC153" s="40"/>
      <c r="ED153" s="40"/>
      <c r="EE153" s="40"/>
      <c r="EF153" s="40"/>
      <c r="EG153" s="40"/>
      <c r="EH153" s="40"/>
      <c r="EI153" s="40"/>
      <c r="EJ153" s="40"/>
      <c r="EK153" s="40"/>
      <c r="EL153" s="40"/>
      <c r="EM153" s="40"/>
      <c r="EN153" s="40"/>
      <c r="EO153" s="40"/>
      <c r="EP153" s="40"/>
      <c r="EQ153" s="40"/>
      <c r="ER153" s="40"/>
      <c r="ES153" s="40"/>
      <c r="ET153" s="40"/>
      <c r="EU153" s="40"/>
      <c r="EV153" s="40"/>
      <c r="EW153" s="40"/>
      <c r="EX153" s="40"/>
      <c r="EY153" s="40"/>
      <c r="EZ153" s="40"/>
      <c r="FA153" s="40"/>
      <c r="FB153" s="40"/>
      <c r="FC153" s="40"/>
      <c r="FD153" s="40"/>
      <c r="FE153" s="40"/>
      <c r="FF153" s="40"/>
      <c r="FG153" s="40"/>
      <c r="FH153" s="40"/>
      <c r="FI153" s="40"/>
      <c r="FJ153" s="40"/>
      <c r="FK153" s="40"/>
      <c r="FL153" s="40"/>
      <c r="FM153" s="40"/>
      <c r="FN153" s="40"/>
      <c r="FO153" s="40"/>
      <c r="FP153" s="40"/>
      <c r="FQ153" s="40"/>
      <c r="FR153" s="40"/>
      <c r="FS153" s="40"/>
      <c r="FT153" s="40"/>
      <c r="FU153" s="40"/>
      <c r="FV153" s="40"/>
    </row>
    <row r="154" spans="22:178" s="34" customFormat="1">
      <c r="V154" s="40"/>
      <c r="DK154" s="40"/>
      <c r="DL154" s="40"/>
      <c r="DM154" s="40"/>
      <c r="DN154" s="40"/>
      <c r="DO154" s="40"/>
      <c r="DP154" s="40"/>
      <c r="DQ154" s="40"/>
      <c r="DR154" s="40"/>
      <c r="DS154" s="40"/>
      <c r="DT154" s="40"/>
      <c r="DU154" s="40"/>
      <c r="DV154" s="40"/>
      <c r="DW154" s="40"/>
      <c r="DX154" s="40"/>
      <c r="DY154" s="40"/>
      <c r="DZ154" s="40"/>
      <c r="EA154" s="40"/>
      <c r="EB154" s="40"/>
      <c r="EC154" s="40"/>
      <c r="ED154" s="40"/>
      <c r="EE154" s="40"/>
      <c r="EF154" s="40"/>
      <c r="EG154" s="40"/>
      <c r="EH154" s="40"/>
      <c r="EI154" s="40"/>
      <c r="EJ154" s="40"/>
      <c r="EK154" s="40"/>
      <c r="EL154" s="40"/>
      <c r="EM154" s="40"/>
      <c r="EN154" s="40"/>
      <c r="EO154" s="40"/>
      <c r="EP154" s="40"/>
      <c r="EQ154" s="40"/>
      <c r="ER154" s="40"/>
      <c r="ES154" s="40"/>
      <c r="ET154" s="40"/>
      <c r="EU154" s="40"/>
      <c r="EV154" s="40"/>
      <c r="EW154" s="40"/>
      <c r="EX154" s="40"/>
      <c r="EY154" s="40"/>
      <c r="EZ154" s="40"/>
      <c r="FA154" s="40"/>
      <c r="FB154" s="40"/>
      <c r="FC154" s="40"/>
      <c r="FD154" s="40"/>
      <c r="FE154" s="40"/>
      <c r="FF154" s="40"/>
      <c r="FG154" s="40"/>
      <c r="FH154" s="40"/>
      <c r="FI154" s="40"/>
      <c r="FJ154" s="40"/>
      <c r="FK154" s="40"/>
      <c r="FL154" s="40"/>
      <c r="FM154" s="40"/>
      <c r="FN154" s="40"/>
      <c r="FO154" s="40"/>
      <c r="FP154" s="40"/>
      <c r="FQ154" s="40"/>
      <c r="FR154" s="40"/>
      <c r="FS154" s="40"/>
      <c r="FT154" s="40"/>
      <c r="FU154" s="40"/>
      <c r="FV154" s="40"/>
    </row>
    <row r="155" spans="22:178" s="34" customFormat="1">
      <c r="V155" s="40"/>
      <c r="DK155" s="40"/>
      <c r="DL155" s="40"/>
      <c r="DM155" s="40"/>
      <c r="DN155" s="40"/>
      <c r="DO155" s="40"/>
      <c r="DP155" s="40"/>
      <c r="DQ155" s="40"/>
      <c r="DR155" s="40"/>
      <c r="DS155" s="40"/>
      <c r="DT155" s="40"/>
      <c r="DU155" s="40"/>
      <c r="DV155" s="40"/>
      <c r="DW155" s="40"/>
      <c r="DX155" s="40"/>
      <c r="DY155" s="40"/>
      <c r="DZ155" s="40"/>
      <c r="EA155" s="40"/>
      <c r="EB155" s="40"/>
      <c r="EC155" s="40"/>
      <c r="ED155" s="40"/>
      <c r="EE155" s="40"/>
      <c r="EF155" s="40"/>
      <c r="EG155" s="40"/>
      <c r="EH155" s="40"/>
      <c r="EI155" s="40"/>
      <c r="EJ155" s="40"/>
      <c r="EK155" s="40"/>
      <c r="EL155" s="40"/>
      <c r="EM155" s="40"/>
      <c r="EN155" s="40"/>
      <c r="EO155" s="40"/>
      <c r="EP155" s="40"/>
      <c r="EQ155" s="40"/>
      <c r="ER155" s="40"/>
      <c r="ES155" s="40"/>
      <c r="ET155" s="40"/>
      <c r="EU155" s="40"/>
      <c r="EV155" s="40"/>
      <c r="EW155" s="40"/>
      <c r="EX155" s="40"/>
      <c r="EY155" s="40"/>
      <c r="EZ155" s="40"/>
      <c r="FA155" s="40"/>
      <c r="FB155" s="40"/>
      <c r="FC155" s="40"/>
      <c r="FD155" s="40"/>
      <c r="FE155" s="40"/>
      <c r="FF155" s="40"/>
      <c r="FG155" s="40"/>
      <c r="FH155" s="40"/>
      <c r="FI155" s="40"/>
      <c r="FJ155" s="40"/>
      <c r="FK155" s="40"/>
      <c r="FL155" s="40"/>
      <c r="FM155" s="40"/>
      <c r="FN155" s="40"/>
      <c r="FO155" s="40"/>
      <c r="FP155" s="40"/>
      <c r="FQ155" s="40"/>
      <c r="FR155" s="40"/>
      <c r="FS155" s="40"/>
      <c r="FT155" s="40"/>
      <c r="FU155" s="40"/>
      <c r="FV155" s="40"/>
    </row>
    <row r="156" spans="22:178" s="34" customFormat="1">
      <c r="V156" s="40"/>
      <c r="DK156" s="40"/>
      <c r="DL156" s="40"/>
      <c r="DM156" s="40"/>
      <c r="DN156" s="40"/>
      <c r="DO156" s="40"/>
      <c r="DP156" s="40"/>
      <c r="DQ156" s="40"/>
      <c r="DR156" s="40"/>
      <c r="DS156" s="40"/>
      <c r="DT156" s="40"/>
      <c r="DU156" s="40"/>
      <c r="DV156" s="40"/>
      <c r="DW156" s="40"/>
      <c r="DX156" s="40"/>
      <c r="DY156" s="40"/>
      <c r="DZ156" s="40"/>
      <c r="EA156" s="40"/>
      <c r="EB156" s="40"/>
      <c r="EC156" s="40"/>
      <c r="ED156" s="40"/>
      <c r="EE156" s="40"/>
      <c r="EF156" s="40"/>
      <c r="EG156" s="40"/>
      <c r="EH156" s="40"/>
      <c r="EI156" s="40"/>
      <c r="EJ156" s="40"/>
      <c r="EK156" s="40"/>
      <c r="EL156" s="40"/>
      <c r="EM156" s="40"/>
      <c r="EN156" s="40"/>
      <c r="EO156" s="40"/>
      <c r="EP156" s="40"/>
      <c r="EQ156" s="40"/>
      <c r="ER156" s="40"/>
      <c r="ES156" s="40"/>
      <c r="ET156" s="40"/>
      <c r="EU156" s="40"/>
      <c r="EV156" s="40"/>
      <c r="EW156" s="40"/>
      <c r="EX156" s="40"/>
      <c r="EY156" s="40"/>
      <c r="EZ156" s="40"/>
      <c r="FA156" s="40"/>
      <c r="FB156" s="40"/>
      <c r="FC156" s="40"/>
      <c r="FD156" s="40"/>
      <c r="FE156" s="40"/>
      <c r="FF156" s="40"/>
      <c r="FG156" s="40"/>
      <c r="FH156" s="40"/>
      <c r="FI156" s="40"/>
      <c r="FJ156" s="40"/>
      <c r="FK156" s="40"/>
      <c r="FL156" s="40"/>
      <c r="FM156" s="40"/>
      <c r="FN156" s="40"/>
      <c r="FO156" s="40"/>
      <c r="FP156" s="40"/>
      <c r="FQ156" s="40"/>
      <c r="FR156" s="40"/>
      <c r="FS156" s="40"/>
      <c r="FT156" s="40"/>
      <c r="FU156" s="40"/>
      <c r="FV156" s="40"/>
    </row>
    <row r="157" spans="22:178" s="34" customFormat="1">
      <c r="V157" s="40"/>
      <c r="DK157" s="40"/>
      <c r="DL157" s="40"/>
      <c r="DM157" s="40"/>
      <c r="DN157" s="40"/>
      <c r="DO157" s="40"/>
      <c r="DP157" s="40"/>
      <c r="DQ157" s="40"/>
      <c r="DR157" s="40"/>
      <c r="DS157" s="40"/>
      <c r="DT157" s="40"/>
      <c r="DU157" s="40"/>
      <c r="DV157" s="40"/>
      <c r="DW157" s="40"/>
      <c r="DX157" s="40"/>
      <c r="DY157" s="40"/>
      <c r="DZ157" s="40"/>
      <c r="EA157" s="40"/>
      <c r="EB157" s="40"/>
      <c r="EC157" s="40"/>
      <c r="ED157" s="40"/>
      <c r="EE157" s="40"/>
      <c r="EF157" s="40"/>
      <c r="EG157" s="40"/>
      <c r="EH157" s="40"/>
      <c r="EI157" s="40"/>
      <c r="EJ157" s="40"/>
      <c r="EK157" s="40"/>
      <c r="EL157" s="40"/>
      <c r="EM157" s="40"/>
      <c r="EN157" s="40"/>
      <c r="EO157" s="40"/>
      <c r="EP157" s="40"/>
      <c r="EQ157" s="40"/>
      <c r="ER157" s="40"/>
      <c r="ES157" s="40"/>
      <c r="ET157" s="40"/>
      <c r="EU157" s="40"/>
      <c r="EV157" s="40"/>
      <c r="EW157" s="40"/>
      <c r="EX157" s="40"/>
      <c r="EY157" s="40"/>
      <c r="EZ157" s="40"/>
      <c r="FA157" s="40"/>
      <c r="FB157" s="40"/>
      <c r="FC157" s="40"/>
      <c r="FD157" s="40"/>
      <c r="FE157" s="40"/>
      <c r="FF157" s="40"/>
      <c r="FG157" s="40"/>
      <c r="FH157" s="40"/>
      <c r="FI157" s="40"/>
      <c r="FJ157" s="40"/>
      <c r="FK157" s="40"/>
      <c r="FL157" s="40"/>
      <c r="FM157" s="40"/>
      <c r="FN157" s="40"/>
      <c r="FO157" s="40"/>
      <c r="FP157" s="40"/>
      <c r="FQ157" s="40"/>
      <c r="FR157" s="40"/>
      <c r="FS157" s="40"/>
      <c r="FT157" s="40"/>
      <c r="FU157" s="40"/>
      <c r="FV157" s="40"/>
    </row>
    <row r="158" spans="22:178" s="34" customFormat="1">
      <c r="V158" s="40"/>
      <c r="DK158" s="40"/>
      <c r="DL158" s="40"/>
      <c r="DM158" s="40"/>
      <c r="DN158" s="40"/>
      <c r="DO158" s="40"/>
      <c r="DP158" s="40"/>
      <c r="DQ158" s="40"/>
      <c r="DR158" s="40"/>
      <c r="DS158" s="40"/>
      <c r="DT158" s="40"/>
      <c r="DU158" s="40"/>
      <c r="DV158" s="40"/>
      <c r="DW158" s="40"/>
      <c r="DX158" s="40"/>
      <c r="DY158" s="40"/>
      <c r="DZ158" s="40"/>
      <c r="EA158" s="40"/>
      <c r="EB158" s="40"/>
      <c r="EC158" s="40"/>
      <c r="ED158" s="40"/>
      <c r="EE158" s="40"/>
      <c r="EF158" s="40"/>
      <c r="EG158" s="40"/>
      <c r="EH158" s="40"/>
      <c r="EI158" s="40"/>
      <c r="EJ158" s="40"/>
      <c r="EK158" s="40"/>
      <c r="EL158" s="40"/>
      <c r="EM158" s="40"/>
      <c r="EN158" s="40"/>
      <c r="EO158" s="40"/>
      <c r="EP158" s="40"/>
      <c r="EQ158" s="40"/>
      <c r="ER158" s="40"/>
      <c r="ES158" s="40"/>
      <c r="ET158" s="40"/>
      <c r="EU158" s="40"/>
      <c r="EV158" s="40"/>
      <c r="EW158" s="40"/>
      <c r="EX158" s="40"/>
      <c r="EY158" s="40"/>
      <c r="EZ158" s="40"/>
      <c r="FA158" s="40"/>
      <c r="FB158" s="40"/>
      <c r="FC158" s="40"/>
      <c r="FD158" s="40"/>
      <c r="FE158" s="40"/>
      <c r="FF158" s="40"/>
      <c r="FG158" s="40"/>
      <c r="FH158" s="40"/>
      <c r="FI158" s="40"/>
      <c r="FJ158" s="40"/>
      <c r="FK158" s="40"/>
      <c r="FL158" s="40"/>
      <c r="FM158" s="40"/>
      <c r="FN158" s="40"/>
      <c r="FO158" s="40"/>
      <c r="FP158" s="40"/>
      <c r="FQ158" s="40"/>
      <c r="FR158" s="40"/>
      <c r="FS158" s="40"/>
      <c r="FT158" s="40"/>
      <c r="FU158" s="40"/>
      <c r="FV158" s="40"/>
    </row>
    <row r="159" spans="22:178" s="34" customFormat="1">
      <c r="V159" s="40"/>
      <c r="DK159" s="40"/>
      <c r="DL159" s="40"/>
      <c r="DM159" s="40"/>
      <c r="DN159" s="40"/>
      <c r="DO159" s="40"/>
      <c r="DP159" s="40"/>
      <c r="DQ159" s="40"/>
      <c r="DR159" s="40"/>
      <c r="DS159" s="40"/>
      <c r="DT159" s="40"/>
      <c r="DU159" s="40"/>
      <c r="DV159" s="40"/>
      <c r="DW159" s="40"/>
      <c r="DX159" s="40"/>
      <c r="DY159" s="40"/>
      <c r="DZ159" s="40"/>
      <c r="EA159" s="40"/>
      <c r="EB159" s="40"/>
      <c r="EC159" s="40"/>
      <c r="ED159" s="40"/>
      <c r="EE159" s="40"/>
      <c r="EF159" s="40"/>
      <c r="EG159" s="40"/>
      <c r="EH159" s="40"/>
      <c r="EI159" s="40"/>
      <c r="EJ159" s="40"/>
      <c r="EK159" s="40"/>
      <c r="EL159" s="40"/>
      <c r="EM159" s="40"/>
      <c r="EN159" s="40"/>
      <c r="EO159" s="40"/>
      <c r="EP159" s="40"/>
      <c r="EQ159" s="40"/>
      <c r="ER159" s="40"/>
      <c r="ES159" s="40"/>
      <c r="ET159" s="40"/>
      <c r="EU159" s="40"/>
      <c r="EV159" s="40"/>
      <c r="EW159" s="40"/>
      <c r="EX159" s="40"/>
      <c r="EY159" s="40"/>
      <c r="EZ159" s="40"/>
      <c r="FA159" s="40"/>
      <c r="FB159" s="40"/>
      <c r="FC159" s="40"/>
      <c r="FD159" s="40"/>
      <c r="FE159" s="40"/>
      <c r="FF159" s="40"/>
      <c r="FG159" s="40"/>
      <c r="FH159" s="40"/>
      <c r="FI159" s="40"/>
      <c r="FJ159" s="40"/>
      <c r="FK159" s="40"/>
      <c r="FL159" s="40"/>
      <c r="FM159" s="40"/>
      <c r="FN159" s="40"/>
      <c r="FO159" s="40"/>
      <c r="FP159" s="40"/>
      <c r="FQ159" s="40"/>
      <c r="FR159" s="40"/>
      <c r="FS159" s="40"/>
      <c r="FT159" s="40"/>
      <c r="FU159" s="40"/>
      <c r="FV159" s="40"/>
    </row>
    <row r="160" spans="22:178" s="34" customFormat="1">
      <c r="V160" s="40"/>
      <c r="DK160" s="40"/>
      <c r="DL160" s="40"/>
      <c r="DM160" s="40"/>
      <c r="DN160" s="40"/>
      <c r="DO160" s="40"/>
      <c r="DP160" s="40"/>
      <c r="DQ160" s="40"/>
      <c r="DR160" s="40"/>
      <c r="DS160" s="40"/>
      <c r="DT160" s="40"/>
      <c r="DU160" s="40"/>
      <c r="DV160" s="40"/>
      <c r="DW160" s="40"/>
      <c r="DX160" s="40"/>
      <c r="DY160" s="40"/>
      <c r="DZ160" s="40"/>
      <c r="EA160" s="40"/>
      <c r="EB160" s="40"/>
      <c r="EC160" s="40"/>
      <c r="ED160" s="40"/>
      <c r="EE160" s="40"/>
      <c r="EF160" s="40"/>
      <c r="EG160" s="40"/>
      <c r="EH160" s="40"/>
      <c r="EI160" s="40"/>
      <c r="EJ160" s="40"/>
      <c r="EK160" s="40"/>
      <c r="EL160" s="40"/>
      <c r="EM160" s="40"/>
      <c r="EN160" s="40"/>
      <c r="EO160" s="40"/>
      <c r="EP160" s="40"/>
      <c r="EQ160" s="40"/>
      <c r="ER160" s="40"/>
      <c r="ES160" s="40"/>
      <c r="ET160" s="40"/>
      <c r="EU160" s="40"/>
      <c r="EV160" s="40"/>
      <c r="EW160" s="40"/>
      <c r="EX160" s="40"/>
      <c r="EY160" s="40"/>
      <c r="EZ160" s="40"/>
      <c r="FA160" s="40"/>
      <c r="FB160" s="40"/>
      <c r="FC160" s="40"/>
      <c r="FD160" s="40"/>
      <c r="FE160" s="40"/>
      <c r="FF160" s="40"/>
      <c r="FG160" s="40"/>
      <c r="FH160" s="40"/>
      <c r="FI160" s="40"/>
      <c r="FJ160" s="40"/>
      <c r="FK160" s="40"/>
      <c r="FL160" s="40"/>
      <c r="FM160" s="40"/>
      <c r="FN160" s="40"/>
      <c r="FO160" s="40"/>
      <c r="FP160" s="40"/>
      <c r="FQ160" s="40"/>
      <c r="FR160" s="40"/>
      <c r="FS160" s="40"/>
      <c r="FT160" s="40"/>
      <c r="FU160" s="40"/>
      <c r="FV160" s="40"/>
    </row>
    <row r="161" spans="22:178" s="34" customFormat="1">
      <c r="V161" s="40"/>
      <c r="DK161" s="40"/>
      <c r="DL161" s="40"/>
      <c r="DM161" s="40"/>
      <c r="DN161" s="40"/>
      <c r="DO161" s="40"/>
      <c r="DP161" s="40"/>
      <c r="DQ161" s="40"/>
      <c r="DR161" s="40"/>
      <c r="DS161" s="40"/>
      <c r="DT161" s="40"/>
      <c r="DU161" s="40"/>
      <c r="DV161" s="40"/>
      <c r="DW161" s="40"/>
      <c r="DX161" s="40"/>
      <c r="DY161" s="40"/>
      <c r="DZ161" s="40"/>
      <c r="EA161" s="40"/>
      <c r="EB161" s="40"/>
      <c r="EC161" s="40"/>
      <c r="ED161" s="40"/>
      <c r="EE161" s="40"/>
      <c r="EF161" s="40"/>
      <c r="EG161" s="40"/>
      <c r="EH161" s="40"/>
      <c r="EI161" s="40"/>
      <c r="EJ161" s="40"/>
      <c r="EK161" s="40"/>
      <c r="EL161" s="40"/>
      <c r="EM161" s="40"/>
      <c r="EN161" s="40"/>
      <c r="EO161" s="40"/>
      <c r="EP161" s="40"/>
      <c r="EQ161" s="40"/>
      <c r="ER161" s="40"/>
      <c r="ES161" s="40"/>
      <c r="ET161" s="40"/>
      <c r="EU161" s="40"/>
      <c r="EV161" s="40"/>
      <c r="EW161" s="40"/>
      <c r="EX161" s="40"/>
      <c r="EY161" s="40"/>
      <c r="EZ161" s="40"/>
      <c r="FA161" s="40"/>
      <c r="FB161" s="40"/>
      <c r="FC161" s="40"/>
      <c r="FD161" s="40"/>
      <c r="FE161" s="40"/>
      <c r="FF161" s="40"/>
      <c r="FG161" s="40"/>
      <c r="FH161" s="40"/>
      <c r="FI161" s="40"/>
      <c r="FJ161" s="40"/>
      <c r="FK161" s="40"/>
      <c r="FL161" s="40"/>
      <c r="FM161" s="40"/>
      <c r="FN161" s="40"/>
      <c r="FO161" s="40"/>
      <c r="FP161" s="40"/>
      <c r="FQ161" s="40"/>
      <c r="FR161" s="40"/>
      <c r="FS161" s="40"/>
      <c r="FT161" s="40"/>
      <c r="FU161" s="40"/>
      <c r="FV161" s="40"/>
    </row>
    <row r="162" spans="22:178" s="34" customFormat="1">
      <c r="V162" s="40"/>
      <c r="DK162" s="40"/>
      <c r="DL162" s="40"/>
      <c r="DM162" s="40"/>
      <c r="DN162" s="40"/>
      <c r="DO162" s="40"/>
      <c r="DP162" s="40"/>
      <c r="DQ162" s="40"/>
      <c r="DR162" s="40"/>
      <c r="DS162" s="40"/>
      <c r="DT162" s="40"/>
      <c r="DU162" s="40"/>
      <c r="DV162" s="40"/>
      <c r="DW162" s="40"/>
      <c r="DX162" s="40"/>
      <c r="DY162" s="40"/>
      <c r="DZ162" s="40"/>
      <c r="EA162" s="40"/>
      <c r="EB162" s="40"/>
      <c r="EC162" s="40"/>
      <c r="ED162" s="40"/>
      <c r="EE162" s="40"/>
      <c r="EF162" s="40"/>
      <c r="EG162" s="40"/>
      <c r="EH162" s="40"/>
      <c r="EI162" s="40"/>
      <c r="EJ162" s="40"/>
      <c r="EK162" s="40"/>
      <c r="EL162" s="40"/>
      <c r="EM162" s="40"/>
      <c r="EN162" s="40"/>
      <c r="EO162" s="40"/>
      <c r="EP162" s="40"/>
      <c r="EQ162" s="40"/>
      <c r="ER162" s="40"/>
      <c r="ES162" s="40"/>
      <c r="ET162" s="40"/>
      <c r="EU162" s="40"/>
      <c r="EV162" s="40"/>
      <c r="EW162" s="40"/>
      <c r="EX162" s="40"/>
      <c r="EY162" s="40"/>
      <c r="EZ162" s="40"/>
      <c r="FA162" s="40"/>
      <c r="FB162" s="40"/>
      <c r="FC162" s="40"/>
      <c r="FD162" s="40"/>
      <c r="FE162" s="40"/>
      <c r="FF162" s="40"/>
      <c r="FG162" s="40"/>
      <c r="FH162" s="40"/>
      <c r="FI162" s="40"/>
      <c r="FJ162" s="40"/>
      <c r="FK162" s="40"/>
      <c r="FL162" s="40"/>
      <c r="FM162" s="40"/>
      <c r="FN162" s="40"/>
      <c r="FO162" s="40"/>
      <c r="FP162" s="40"/>
      <c r="FQ162" s="40"/>
      <c r="FR162" s="40"/>
      <c r="FS162" s="40"/>
      <c r="FT162" s="40"/>
      <c r="FU162" s="40"/>
      <c r="FV162" s="40"/>
    </row>
    <row r="163" spans="22:178" s="34" customFormat="1">
      <c r="V163" s="40"/>
      <c r="DK163" s="40"/>
      <c r="DL163" s="40"/>
      <c r="DM163" s="40"/>
      <c r="DN163" s="40"/>
      <c r="DO163" s="40"/>
      <c r="DP163" s="40"/>
      <c r="DQ163" s="40"/>
      <c r="DR163" s="40"/>
      <c r="DS163" s="40"/>
      <c r="DT163" s="40"/>
      <c r="DU163" s="40"/>
      <c r="DV163" s="40"/>
      <c r="DW163" s="40"/>
      <c r="DX163" s="40"/>
      <c r="DY163" s="40"/>
      <c r="DZ163" s="40"/>
      <c r="EA163" s="40"/>
      <c r="EB163" s="40"/>
      <c r="EC163" s="40"/>
      <c r="ED163" s="40"/>
      <c r="EE163" s="40"/>
      <c r="EF163" s="40"/>
      <c r="EG163" s="40"/>
      <c r="EH163" s="40"/>
      <c r="EI163" s="40"/>
      <c r="EJ163" s="40"/>
      <c r="EK163" s="40"/>
      <c r="EL163" s="40"/>
      <c r="EM163" s="40"/>
      <c r="EN163" s="40"/>
      <c r="EO163" s="40"/>
      <c r="EP163" s="40"/>
      <c r="EQ163" s="40"/>
      <c r="ER163" s="40"/>
      <c r="ES163" s="40"/>
      <c r="ET163" s="40"/>
      <c r="EU163" s="40"/>
      <c r="EV163" s="40"/>
      <c r="EW163" s="40"/>
      <c r="EX163" s="40"/>
      <c r="EY163" s="40"/>
      <c r="EZ163" s="40"/>
      <c r="FA163" s="40"/>
      <c r="FB163" s="40"/>
      <c r="FC163" s="40"/>
      <c r="FD163" s="40"/>
      <c r="FE163" s="40"/>
      <c r="FF163" s="40"/>
      <c r="FG163" s="40"/>
      <c r="FH163" s="40"/>
      <c r="FI163" s="40"/>
      <c r="FJ163" s="40"/>
      <c r="FK163" s="40"/>
      <c r="FL163" s="40"/>
      <c r="FM163" s="40"/>
      <c r="FN163" s="40"/>
      <c r="FO163" s="40"/>
      <c r="FP163" s="40"/>
      <c r="FQ163" s="40"/>
      <c r="FR163" s="40"/>
      <c r="FS163" s="40"/>
      <c r="FT163" s="40"/>
      <c r="FU163" s="40"/>
      <c r="FV163" s="40"/>
    </row>
    <row r="164" spans="22:178" s="34" customFormat="1">
      <c r="V164" s="40"/>
      <c r="DK164" s="40"/>
      <c r="DL164" s="40"/>
      <c r="DM164" s="40"/>
      <c r="DN164" s="40"/>
      <c r="DO164" s="40"/>
      <c r="DP164" s="40"/>
      <c r="DQ164" s="40"/>
      <c r="DR164" s="40"/>
      <c r="DS164" s="40"/>
      <c r="DT164" s="40"/>
      <c r="DU164" s="40"/>
      <c r="DV164" s="40"/>
      <c r="DW164" s="40"/>
      <c r="DX164" s="40"/>
      <c r="DY164" s="40"/>
      <c r="DZ164" s="40"/>
      <c r="EA164" s="40"/>
      <c r="EB164" s="40"/>
      <c r="EC164" s="40"/>
      <c r="ED164" s="40"/>
      <c r="EE164" s="40"/>
      <c r="EF164" s="40"/>
      <c r="EG164" s="40"/>
      <c r="EH164" s="40"/>
      <c r="EI164" s="40"/>
      <c r="EJ164" s="40"/>
      <c r="EK164" s="40"/>
      <c r="EL164" s="40"/>
      <c r="EM164" s="40"/>
      <c r="EN164" s="40"/>
      <c r="EO164" s="40"/>
      <c r="EP164" s="40"/>
      <c r="EQ164" s="40"/>
      <c r="ER164" s="40"/>
      <c r="ES164" s="40"/>
      <c r="ET164" s="40"/>
      <c r="EU164" s="40"/>
      <c r="EV164" s="40"/>
      <c r="EW164" s="40"/>
      <c r="EX164" s="40"/>
      <c r="EY164" s="40"/>
      <c r="EZ164" s="40"/>
      <c r="FA164" s="40"/>
      <c r="FB164" s="40"/>
      <c r="FC164" s="40"/>
      <c r="FD164" s="40"/>
      <c r="FE164" s="40"/>
      <c r="FF164" s="40"/>
      <c r="FG164" s="40"/>
      <c r="FH164" s="40"/>
      <c r="FI164" s="40"/>
      <c r="FJ164" s="40"/>
      <c r="FK164" s="40"/>
      <c r="FL164" s="40"/>
      <c r="FM164" s="40"/>
      <c r="FN164" s="40"/>
      <c r="FO164" s="40"/>
      <c r="FP164" s="40"/>
      <c r="FQ164" s="40"/>
      <c r="FR164" s="40"/>
      <c r="FS164" s="40"/>
      <c r="FT164" s="40"/>
      <c r="FU164" s="40"/>
      <c r="FV164" s="40"/>
    </row>
    <row r="165" spans="22:178" s="34" customFormat="1">
      <c r="V165" s="40"/>
      <c r="DK165" s="40"/>
      <c r="DL165" s="40"/>
      <c r="DM165" s="40"/>
      <c r="DN165" s="40"/>
      <c r="DO165" s="40"/>
      <c r="DP165" s="40"/>
      <c r="DQ165" s="40"/>
      <c r="DR165" s="40"/>
      <c r="DS165" s="40"/>
      <c r="DT165" s="40"/>
      <c r="DU165" s="40"/>
      <c r="DV165" s="40"/>
      <c r="DW165" s="40"/>
      <c r="DX165" s="40"/>
      <c r="DY165" s="40"/>
      <c r="DZ165" s="40"/>
      <c r="EA165" s="40"/>
      <c r="EB165" s="40"/>
      <c r="EC165" s="40"/>
      <c r="ED165" s="40"/>
      <c r="EE165" s="40"/>
      <c r="EF165" s="40"/>
      <c r="EG165" s="40"/>
      <c r="EH165" s="40"/>
      <c r="EI165" s="40"/>
      <c r="EJ165" s="40"/>
      <c r="EK165" s="40"/>
      <c r="EL165" s="40"/>
      <c r="EM165" s="40"/>
      <c r="EN165" s="40"/>
      <c r="EO165" s="40"/>
      <c r="EP165" s="40"/>
      <c r="EQ165" s="40"/>
      <c r="ER165" s="40"/>
      <c r="ES165" s="40"/>
      <c r="ET165" s="40"/>
      <c r="EU165" s="40"/>
      <c r="EV165" s="40"/>
      <c r="EW165" s="40"/>
      <c r="EX165" s="40"/>
      <c r="EY165" s="40"/>
      <c r="EZ165" s="40"/>
      <c r="FA165" s="40"/>
      <c r="FB165" s="40"/>
      <c r="FC165" s="40"/>
      <c r="FD165" s="40"/>
      <c r="FE165" s="40"/>
      <c r="FF165" s="40"/>
      <c r="FG165" s="40"/>
      <c r="FH165" s="40"/>
      <c r="FI165" s="40"/>
      <c r="FJ165" s="40"/>
      <c r="FK165" s="40"/>
      <c r="FL165" s="40"/>
      <c r="FM165" s="40"/>
      <c r="FN165" s="40"/>
      <c r="FO165" s="40"/>
      <c r="FP165" s="40"/>
      <c r="FQ165" s="40"/>
      <c r="FR165" s="40"/>
      <c r="FS165" s="40"/>
      <c r="FT165" s="40"/>
      <c r="FU165" s="40"/>
      <c r="FV165" s="40"/>
    </row>
    <row r="166" spans="22:178" s="34" customFormat="1">
      <c r="V166" s="40"/>
      <c r="DK166" s="40"/>
      <c r="DL166" s="40"/>
      <c r="DM166" s="40"/>
      <c r="DN166" s="40"/>
      <c r="DO166" s="40"/>
      <c r="DP166" s="40"/>
      <c r="DQ166" s="40"/>
      <c r="DR166" s="40"/>
      <c r="DS166" s="40"/>
      <c r="DT166" s="40"/>
      <c r="DU166" s="40"/>
      <c r="DV166" s="40"/>
      <c r="DW166" s="40"/>
      <c r="DX166" s="40"/>
      <c r="DY166" s="40"/>
      <c r="DZ166" s="40"/>
      <c r="EA166" s="40"/>
      <c r="EB166" s="40"/>
      <c r="EC166" s="40"/>
      <c r="ED166" s="40"/>
      <c r="EE166" s="40"/>
      <c r="EF166" s="40"/>
      <c r="EG166" s="40"/>
      <c r="EH166" s="40"/>
      <c r="EI166" s="40"/>
      <c r="EJ166" s="40"/>
      <c r="EK166" s="40"/>
      <c r="EL166" s="40"/>
      <c r="EM166" s="40"/>
      <c r="EN166" s="40"/>
      <c r="EO166" s="40"/>
      <c r="EP166" s="40"/>
      <c r="EQ166" s="40"/>
      <c r="ER166" s="40"/>
      <c r="ES166" s="40"/>
      <c r="ET166" s="40"/>
      <c r="EU166" s="40"/>
      <c r="EV166" s="40"/>
      <c r="EW166" s="40"/>
      <c r="EX166" s="40"/>
      <c r="EY166" s="40"/>
      <c r="EZ166" s="40"/>
      <c r="FA166" s="40"/>
      <c r="FB166" s="40"/>
      <c r="FC166" s="40"/>
      <c r="FD166" s="40"/>
      <c r="FE166" s="40"/>
      <c r="FF166" s="40"/>
      <c r="FG166" s="40"/>
      <c r="FH166" s="40"/>
      <c r="FI166" s="40"/>
      <c r="FJ166" s="40"/>
      <c r="FK166" s="40"/>
      <c r="FL166" s="40"/>
      <c r="FM166" s="40"/>
      <c r="FN166" s="40"/>
      <c r="FO166" s="40"/>
      <c r="FP166" s="40"/>
      <c r="FQ166" s="40"/>
      <c r="FR166" s="40"/>
      <c r="FS166" s="40"/>
      <c r="FT166" s="40"/>
      <c r="FU166" s="40"/>
      <c r="FV166" s="40"/>
    </row>
    <row r="167" spans="22:178" s="34" customFormat="1">
      <c r="V167" s="40"/>
      <c r="DK167" s="40"/>
      <c r="DL167" s="40"/>
      <c r="DM167" s="40"/>
      <c r="DN167" s="40"/>
      <c r="DO167" s="40"/>
      <c r="DP167" s="40"/>
      <c r="DQ167" s="40"/>
      <c r="DR167" s="40"/>
      <c r="DS167" s="40"/>
      <c r="DT167" s="40"/>
      <c r="DU167" s="40"/>
      <c r="DV167" s="40"/>
      <c r="DW167" s="40"/>
      <c r="DX167" s="40"/>
      <c r="DY167" s="40"/>
      <c r="DZ167" s="40"/>
      <c r="EA167" s="40"/>
      <c r="EB167" s="40"/>
      <c r="EC167" s="40"/>
      <c r="ED167" s="40"/>
      <c r="EE167" s="40"/>
      <c r="EF167" s="40"/>
      <c r="EG167" s="40"/>
      <c r="EH167" s="40"/>
      <c r="EI167" s="40"/>
      <c r="EJ167" s="40"/>
      <c r="EK167" s="40"/>
      <c r="EL167" s="40"/>
      <c r="EM167" s="40"/>
      <c r="EN167" s="40"/>
      <c r="EO167" s="40"/>
      <c r="EP167" s="40"/>
      <c r="EQ167" s="40"/>
      <c r="ER167" s="40"/>
      <c r="ES167" s="40"/>
      <c r="ET167" s="40"/>
      <c r="EU167" s="40"/>
      <c r="EV167" s="40"/>
      <c r="EW167" s="40"/>
      <c r="EX167" s="40"/>
      <c r="EY167" s="40"/>
      <c r="EZ167" s="40"/>
      <c r="FA167" s="40"/>
      <c r="FB167" s="40"/>
      <c r="FC167" s="40"/>
      <c r="FD167" s="40"/>
      <c r="FE167" s="40"/>
      <c r="FF167" s="40"/>
      <c r="FG167" s="40"/>
      <c r="FH167" s="40"/>
      <c r="FI167" s="40"/>
      <c r="FJ167" s="40"/>
      <c r="FK167" s="40"/>
      <c r="FL167" s="40"/>
      <c r="FM167" s="40"/>
      <c r="FN167" s="40"/>
      <c r="FO167" s="40"/>
      <c r="FP167" s="40"/>
      <c r="FQ167" s="40"/>
      <c r="FR167" s="40"/>
      <c r="FS167" s="40"/>
      <c r="FT167" s="40"/>
      <c r="FU167" s="40"/>
      <c r="FV167" s="40"/>
    </row>
    <row r="168" spans="22:178" s="34" customFormat="1">
      <c r="V168" s="40"/>
      <c r="DK168" s="40"/>
      <c r="DL168" s="40"/>
      <c r="DM168" s="40"/>
      <c r="DN168" s="40"/>
      <c r="DO168" s="40"/>
      <c r="DP168" s="40"/>
      <c r="DQ168" s="40"/>
      <c r="DR168" s="40"/>
      <c r="DS168" s="40"/>
      <c r="DT168" s="40"/>
      <c r="DU168" s="40"/>
      <c r="DV168" s="40"/>
      <c r="DW168" s="40"/>
      <c r="DX168" s="40"/>
      <c r="DY168" s="40"/>
      <c r="DZ168" s="40"/>
      <c r="EA168" s="40"/>
      <c r="EB168" s="40"/>
      <c r="EC168" s="40"/>
      <c r="ED168" s="40"/>
      <c r="EE168" s="40"/>
      <c r="EF168" s="40"/>
      <c r="EG168" s="40"/>
      <c r="EH168" s="40"/>
      <c r="EI168" s="40"/>
      <c r="EJ168" s="40"/>
      <c r="EK168" s="40"/>
      <c r="EL168" s="40"/>
      <c r="EM168" s="40"/>
      <c r="EN168" s="40"/>
      <c r="EO168" s="40"/>
      <c r="EP168" s="40"/>
      <c r="EQ168" s="40"/>
      <c r="ER168" s="40"/>
      <c r="ES168" s="40"/>
      <c r="ET168" s="40"/>
      <c r="EU168" s="40"/>
      <c r="EV168" s="40"/>
      <c r="EW168" s="40"/>
      <c r="EX168" s="40"/>
      <c r="EY168" s="40"/>
      <c r="EZ168" s="40"/>
      <c r="FA168" s="40"/>
      <c r="FB168" s="40"/>
      <c r="FC168" s="40"/>
      <c r="FD168" s="40"/>
      <c r="FE168" s="40"/>
      <c r="FF168" s="40"/>
      <c r="FG168" s="40"/>
      <c r="FH168" s="40"/>
      <c r="FI168" s="40"/>
      <c r="FJ168" s="40"/>
      <c r="FK168" s="40"/>
      <c r="FL168" s="40"/>
      <c r="FM168" s="40"/>
      <c r="FN168" s="40"/>
      <c r="FO168" s="40"/>
      <c r="FP168" s="40"/>
      <c r="FQ168" s="40"/>
      <c r="FR168" s="40"/>
      <c r="FS168" s="40"/>
      <c r="FT168" s="40"/>
      <c r="FU168" s="40"/>
      <c r="FV168" s="40"/>
    </row>
    <row r="169" spans="22:178" s="34" customFormat="1">
      <c r="V169" s="40"/>
      <c r="DK169" s="40"/>
      <c r="DL169" s="40"/>
      <c r="DM169" s="40"/>
      <c r="DN169" s="40"/>
      <c r="DO169" s="40"/>
      <c r="DP169" s="40"/>
      <c r="DQ169" s="40"/>
      <c r="DR169" s="40"/>
      <c r="DS169" s="40"/>
      <c r="DT169" s="40"/>
      <c r="DU169" s="40"/>
      <c r="DV169" s="40"/>
      <c r="DW169" s="40"/>
      <c r="DX169" s="40"/>
      <c r="DY169" s="40"/>
      <c r="DZ169" s="40"/>
      <c r="EA169" s="40"/>
      <c r="EB169" s="40"/>
      <c r="EC169" s="40"/>
      <c r="ED169" s="40"/>
      <c r="EE169" s="40"/>
      <c r="EF169" s="40"/>
      <c r="EG169" s="40"/>
      <c r="EH169" s="40"/>
      <c r="EI169" s="40"/>
      <c r="EJ169" s="40"/>
      <c r="EK169" s="40"/>
      <c r="EL169" s="40"/>
      <c r="EM169" s="40"/>
      <c r="EN169" s="40"/>
      <c r="EO169" s="40"/>
      <c r="EP169" s="40"/>
      <c r="EQ169" s="40"/>
      <c r="ER169" s="40"/>
      <c r="ES169" s="40"/>
      <c r="ET169" s="40"/>
      <c r="EU169" s="40"/>
      <c r="EV169" s="40"/>
      <c r="EW169" s="40"/>
      <c r="EX169" s="40"/>
      <c r="EY169" s="40"/>
      <c r="EZ169" s="40"/>
      <c r="FA169" s="40"/>
      <c r="FB169" s="40"/>
      <c r="FC169" s="40"/>
      <c r="FD169" s="40"/>
      <c r="FE169" s="40"/>
      <c r="FF169" s="40"/>
      <c r="FG169" s="40"/>
      <c r="FH169" s="40"/>
      <c r="FI169" s="40"/>
      <c r="FJ169" s="40"/>
      <c r="FK169" s="40"/>
      <c r="FL169" s="40"/>
      <c r="FM169" s="40"/>
      <c r="FN169" s="40"/>
      <c r="FO169" s="40"/>
      <c r="FP169" s="40"/>
      <c r="FQ169" s="40"/>
      <c r="FR169" s="40"/>
      <c r="FS169" s="40"/>
      <c r="FT169" s="40"/>
      <c r="FU169" s="40"/>
      <c r="FV169" s="40"/>
    </row>
    <row r="170" spans="22:178" s="34" customFormat="1">
      <c r="V170" s="40"/>
      <c r="DK170" s="40"/>
      <c r="DL170" s="40"/>
      <c r="DM170" s="40"/>
      <c r="DN170" s="40"/>
      <c r="DO170" s="40"/>
      <c r="DP170" s="40"/>
      <c r="DQ170" s="40"/>
      <c r="DR170" s="40"/>
      <c r="DS170" s="40"/>
      <c r="DT170" s="40"/>
      <c r="DU170" s="40"/>
      <c r="DV170" s="40"/>
      <c r="DW170" s="40"/>
      <c r="DX170" s="40"/>
      <c r="DY170" s="40"/>
      <c r="DZ170" s="40"/>
      <c r="EA170" s="40"/>
      <c r="EB170" s="40"/>
      <c r="EC170" s="40"/>
      <c r="ED170" s="40"/>
      <c r="EE170" s="40"/>
      <c r="EF170" s="40"/>
      <c r="EG170" s="40"/>
      <c r="EH170" s="40"/>
      <c r="EI170" s="40"/>
      <c r="EJ170" s="40"/>
      <c r="EK170" s="40"/>
      <c r="EL170" s="40"/>
      <c r="EM170" s="40"/>
      <c r="EN170" s="40"/>
      <c r="EO170" s="40"/>
      <c r="EP170" s="40"/>
      <c r="EQ170" s="40"/>
      <c r="ER170" s="40"/>
      <c r="ES170" s="40"/>
      <c r="ET170" s="40"/>
      <c r="EU170" s="40"/>
      <c r="EV170" s="40"/>
      <c r="EW170" s="40"/>
      <c r="EX170" s="40"/>
      <c r="EY170" s="40"/>
      <c r="EZ170" s="40"/>
      <c r="FA170" s="40"/>
      <c r="FB170" s="40"/>
      <c r="FC170" s="40"/>
      <c r="FD170" s="40"/>
      <c r="FE170" s="40"/>
      <c r="FF170" s="40"/>
      <c r="FG170" s="40"/>
      <c r="FH170" s="40"/>
      <c r="FI170" s="40"/>
      <c r="FJ170" s="40"/>
      <c r="FK170" s="40"/>
      <c r="FL170" s="40"/>
      <c r="FM170" s="40"/>
      <c r="FN170" s="40"/>
      <c r="FO170" s="40"/>
      <c r="FP170" s="40"/>
      <c r="FQ170" s="40"/>
      <c r="FR170" s="40"/>
      <c r="FS170" s="40"/>
      <c r="FT170" s="40"/>
      <c r="FU170" s="40"/>
      <c r="FV170" s="40"/>
    </row>
    <row r="171" spans="22:178" s="34" customFormat="1">
      <c r="V171" s="40"/>
      <c r="DK171" s="40"/>
      <c r="DL171" s="40"/>
      <c r="DM171" s="40"/>
      <c r="DN171" s="40"/>
      <c r="DO171" s="40"/>
      <c r="DP171" s="40"/>
      <c r="DQ171" s="40"/>
      <c r="DR171" s="40"/>
      <c r="DS171" s="40"/>
      <c r="DT171" s="40"/>
      <c r="DU171" s="40"/>
      <c r="DV171" s="40"/>
      <c r="DW171" s="40"/>
      <c r="DX171" s="40"/>
      <c r="DY171" s="40"/>
      <c r="DZ171" s="40"/>
      <c r="EA171" s="40"/>
      <c r="EB171" s="40"/>
      <c r="EC171" s="40"/>
      <c r="ED171" s="40"/>
      <c r="EE171" s="40"/>
      <c r="EF171" s="40"/>
      <c r="EG171" s="40"/>
      <c r="EH171" s="40"/>
      <c r="EI171" s="40"/>
      <c r="EJ171" s="40"/>
      <c r="EK171" s="40"/>
      <c r="EL171" s="40"/>
      <c r="EM171" s="40"/>
      <c r="EN171" s="40"/>
      <c r="EO171" s="40"/>
      <c r="EP171" s="40"/>
      <c r="EQ171" s="40"/>
      <c r="ER171" s="40"/>
      <c r="ES171" s="40"/>
      <c r="ET171" s="40"/>
      <c r="EU171" s="40"/>
      <c r="EV171" s="40"/>
      <c r="EW171" s="40"/>
      <c r="EX171" s="40"/>
      <c r="EY171" s="40"/>
      <c r="EZ171" s="40"/>
      <c r="FA171" s="40"/>
      <c r="FB171" s="40"/>
      <c r="FC171" s="40"/>
      <c r="FD171" s="40"/>
      <c r="FE171" s="40"/>
      <c r="FF171" s="40"/>
      <c r="FG171" s="40"/>
      <c r="FH171" s="40"/>
      <c r="FI171" s="40"/>
      <c r="FJ171" s="40"/>
      <c r="FK171" s="40"/>
      <c r="FL171" s="40"/>
      <c r="FM171" s="40"/>
      <c r="FN171" s="40"/>
      <c r="FO171" s="40"/>
      <c r="FP171" s="40"/>
      <c r="FQ171" s="40"/>
      <c r="FR171" s="40"/>
      <c r="FS171" s="40"/>
      <c r="FT171" s="40"/>
      <c r="FU171" s="40"/>
      <c r="FV171" s="40"/>
    </row>
    <row r="172" spans="22:178" s="34" customFormat="1">
      <c r="V172" s="40"/>
      <c r="DK172" s="40"/>
      <c r="DL172" s="40"/>
      <c r="DM172" s="40"/>
      <c r="DN172" s="40"/>
      <c r="DO172" s="40"/>
      <c r="DP172" s="40"/>
      <c r="DQ172" s="40"/>
      <c r="DR172" s="40"/>
      <c r="DS172" s="40"/>
      <c r="DT172" s="40"/>
      <c r="DU172" s="40"/>
      <c r="DV172" s="40"/>
      <c r="DW172" s="40"/>
      <c r="DX172" s="40"/>
      <c r="DY172" s="40"/>
      <c r="DZ172" s="40"/>
      <c r="EA172" s="40"/>
      <c r="EB172" s="40"/>
      <c r="EC172" s="40"/>
      <c r="ED172" s="40"/>
      <c r="EE172" s="40"/>
      <c r="EF172" s="40"/>
      <c r="EG172" s="40"/>
      <c r="EH172" s="40"/>
      <c r="EI172" s="40"/>
      <c r="EJ172" s="40"/>
      <c r="EK172" s="40"/>
      <c r="EL172" s="40"/>
      <c r="EM172" s="40"/>
      <c r="EN172" s="40"/>
      <c r="EO172" s="40"/>
      <c r="EP172" s="40"/>
      <c r="EQ172" s="40"/>
      <c r="ER172" s="40"/>
      <c r="ES172" s="40"/>
      <c r="ET172" s="40"/>
      <c r="EU172" s="40"/>
      <c r="EV172" s="40"/>
      <c r="EW172" s="40"/>
      <c r="EX172" s="40"/>
      <c r="EY172" s="40"/>
      <c r="EZ172" s="40"/>
      <c r="FA172" s="40"/>
      <c r="FB172" s="40"/>
      <c r="FC172" s="40"/>
      <c r="FD172" s="40"/>
      <c r="FE172" s="40"/>
      <c r="FF172" s="40"/>
      <c r="FG172" s="40"/>
      <c r="FH172" s="40"/>
      <c r="FI172" s="40"/>
      <c r="FJ172" s="40"/>
      <c r="FK172" s="40"/>
      <c r="FL172" s="40"/>
      <c r="FM172" s="40"/>
      <c r="FN172" s="40"/>
      <c r="FO172" s="40"/>
      <c r="FP172" s="40"/>
      <c r="FQ172" s="40"/>
      <c r="FR172" s="40"/>
      <c r="FS172" s="40"/>
      <c r="FT172" s="40"/>
      <c r="FU172" s="40"/>
      <c r="FV172" s="40"/>
    </row>
    <row r="173" spans="22:178" s="34" customFormat="1">
      <c r="V173" s="40"/>
      <c r="DK173" s="40"/>
      <c r="DL173" s="40"/>
      <c r="DM173" s="40"/>
      <c r="DN173" s="40"/>
      <c r="DO173" s="40"/>
      <c r="DP173" s="40"/>
      <c r="DQ173" s="40"/>
      <c r="DR173" s="40"/>
      <c r="DS173" s="40"/>
      <c r="DT173" s="40"/>
      <c r="DU173" s="40"/>
      <c r="DV173" s="40"/>
      <c r="DW173" s="40"/>
      <c r="DX173" s="40"/>
      <c r="DY173" s="40"/>
      <c r="DZ173" s="40"/>
      <c r="EA173" s="40"/>
      <c r="EB173" s="40"/>
      <c r="EC173" s="40"/>
      <c r="ED173" s="40"/>
      <c r="EE173" s="40"/>
      <c r="EF173" s="40"/>
      <c r="EG173" s="40"/>
      <c r="EH173" s="40"/>
      <c r="EI173" s="40"/>
      <c r="EJ173" s="40"/>
      <c r="EK173" s="40"/>
      <c r="EL173" s="40"/>
      <c r="EM173" s="40"/>
      <c r="EN173" s="40"/>
      <c r="EO173" s="40"/>
      <c r="EP173" s="40"/>
      <c r="EQ173" s="40"/>
      <c r="ER173" s="40"/>
      <c r="ES173" s="40"/>
      <c r="ET173" s="40"/>
      <c r="EU173" s="40"/>
      <c r="EV173" s="40"/>
      <c r="EW173" s="40"/>
      <c r="EX173" s="40"/>
      <c r="EY173" s="40"/>
      <c r="EZ173" s="40"/>
      <c r="FA173" s="40"/>
      <c r="FB173" s="40"/>
      <c r="FC173" s="40"/>
      <c r="FD173" s="40"/>
      <c r="FE173" s="40"/>
      <c r="FF173" s="40"/>
      <c r="FG173" s="40"/>
      <c r="FH173" s="40"/>
      <c r="FI173" s="40"/>
      <c r="FJ173" s="40"/>
      <c r="FK173" s="40"/>
      <c r="FL173" s="40"/>
      <c r="FM173" s="40"/>
      <c r="FN173" s="40"/>
      <c r="FO173" s="40"/>
      <c r="FP173" s="40"/>
      <c r="FQ173" s="40"/>
      <c r="FR173" s="40"/>
      <c r="FS173" s="40"/>
      <c r="FT173" s="40"/>
      <c r="FU173" s="40"/>
      <c r="FV173" s="40"/>
    </row>
    <row r="174" spans="22:178" s="34" customFormat="1">
      <c r="V174" s="40"/>
      <c r="DK174" s="40"/>
      <c r="DL174" s="40"/>
      <c r="DM174" s="40"/>
      <c r="DN174" s="40"/>
      <c r="DO174" s="40"/>
      <c r="DP174" s="40"/>
      <c r="DQ174" s="40"/>
      <c r="DR174" s="40"/>
      <c r="DS174" s="40"/>
      <c r="DT174" s="40"/>
      <c r="DU174" s="40"/>
      <c r="DV174" s="40"/>
      <c r="DW174" s="40"/>
      <c r="DX174" s="40"/>
      <c r="DY174" s="40"/>
      <c r="DZ174" s="40"/>
      <c r="EA174" s="40"/>
      <c r="EB174" s="40"/>
      <c r="EC174" s="40"/>
      <c r="ED174" s="40"/>
      <c r="EE174" s="40"/>
      <c r="EF174" s="40"/>
      <c r="EG174" s="40"/>
      <c r="EH174" s="40"/>
      <c r="EI174" s="40"/>
      <c r="EJ174" s="40"/>
      <c r="EK174" s="40"/>
      <c r="EL174" s="40"/>
      <c r="EM174" s="40"/>
      <c r="EN174" s="40"/>
      <c r="EO174" s="40"/>
      <c r="EP174" s="40"/>
      <c r="EQ174" s="40"/>
      <c r="ER174" s="40"/>
      <c r="ES174" s="40"/>
      <c r="ET174" s="40"/>
      <c r="EU174" s="40"/>
      <c r="EV174" s="40"/>
      <c r="EW174" s="40"/>
      <c r="EX174" s="40"/>
      <c r="EY174" s="40"/>
      <c r="EZ174" s="40"/>
      <c r="FA174" s="40"/>
      <c r="FB174" s="40"/>
      <c r="FC174" s="40"/>
      <c r="FD174" s="40"/>
      <c r="FE174" s="40"/>
      <c r="FF174" s="40"/>
      <c r="FG174" s="40"/>
      <c r="FH174" s="40"/>
      <c r="FI174" s="40"/>
      <c r="FJ174" s="40"/>
      <c r="FK174" s="40"/>
      <c r="FL174" s="40"/>
      <c r="FM174" s="40"/>
      <c r="FN174" s="40"/>
      <c r="FO174" s="40"/>
      <c r="FP174" s="40"/>
      <c r="FQ174" s="40"/>
      <c r="FR174" s="40"/>
      <c r="FS174" s="40"/>
      <c r="FT174" s="40"/>
      <c r="FU174" s="40"/>
      <c r="FV174" s="40"/>
    </row>
    <row r="175" spans="22:178" s="34" customFormat="1">
      <c r="V175" s="40"/>
      <c r="DK175" s="40"/>
      <c r="DL175" s="40"/>
      <c r="DM175" s="40"/>
      <c r="DN175" s="40"/>
      <c r="DO175" s="40"/>
      <c r="DP175" s="40"/>
      <c r="DQ175" s="40"/>
      <c r="DR175" s="40"/>
      <c r="DS175" s="40"/>
      <c r="DT175" s="40"/>
      <c r="DU175" s="40"/>
      <c r="DV175" s="40"/>
      <c r="DW175" s="40"/>
      <c r="DX175" s="40"/>
      <c r="DY175" s="40"/>
      <c r="DZ175" s="40"/>
      <c r="EA175" s="40"/>
      <c r="EB175" s="40"/>
      <c r="EC175" s="40"/>
      <c r="ED175" s="40"/>
      <c r="EE175" s="40"/>
      <c r="EF175" s="40"/>
      <c r="EG175" s="40"/>
      <c r="EH175" s="40"/>
      <c r="EI175" s="40"/>
      <c r="EJ175" s="40"/>
      <c r="EK175" s="40"/>
      <c r="EL175" s="40"/>
      <c r="EM175" s="40"/>
      <c r="EN175" s="40"/>
      <c r="EO175" s="40"/>
      <c r="EP175" s="40"/>
      <c r="EQ175" s="40"/>
      <c r="ER175" s="40"/>
      <c r="ES175" s="40"/>
      <c r="ET175" s="40"/>
      <c r="EU175" s="40"/>
      <c r="EV175" s="40"/>
      <c r="EW175" s="40"/>
      <c r="EX175" s="40"/>
      <c r="EY175" s="40"/>
      <c r="EZ175" s="40"/>
      <c r="FA175" s="40"/>
      <c r="FB175" s="40"/>
      <c r="FC175" s="40"/>
      <c r="FD175" s="40"/>
      <c r="FE175" s="40"/>
      <c r="FF175" s="40"/>
      <c r="FG175" s="40"/>
      <c r="FH175" s="40"/>
      <c r="FI175" s="40"/>
      <c r="FJ175" s="40"/>
      <c r="FK175" s="40"/>
      <c r="FL175" s="40"/>
      <c r="FM175" s="40"/>
      <c r="FN175" s="40"/>
      <c r="FO175" s="40"/>
      <c r="FP175" s="40"/>
      <c r="FQ175" s="40"/>
      <c r="FR175" s="40"/>
      <c r="FS175" s="40"/>
      <c r="FT175" s="40"/>
      <c r="FU175" s="40"/>
      <c r="FV175" s="40"/>
    </row>
    <row r="176" spans="22:178" s="34" customFormat="1">
      <c r="V176" s="40"/>
      <c r="DK176" s="40"/>
      <c r="DL176" s="40"/>
      <c r="DM176" s="40"/>
      <c r="DN176" s="40"/>
      <c r="DO176" s="40"/>
      <c r="DP176" s="40"/>
      <c r="DQ176" s="40"/>
      <c r="DR176" s="40"/>
      <c r="DS176" s="40"/>
      <c r="DT176" s="40"/>
      <c r="DU176" s="40"/>
      <c r="DV176" s="40"/>
      <c r="DW176" s="40"/>
      <c r="DX176" s="40"/>
      <c r="DY176" s="40"/>
      <c r="DZ176" s="40"/>
      <c r="EA176" s="40"/>
      <c r="EB176" s="40"/>
      <c r="EC176" s="40"/>
      <c r="ED176" s="40"/>
      <c r="EE176" s="40"/>
      <c r="EF176" s="40"/>
      <c r="EG176" s="40"/>
      <c r="EH176" s="40"/>
      <c r="EI176" s="40"/>
      <c r="EJ176" s="40"/>
      <c r="EK176" s="40"/>
      <c r="EL176" s="40"/>
      <c r="EM176" s="40"/>
      <c r="EN176" s="40"/>
      <c r="EO176" s="40"/>
      <c r="EP176" s="40"/>
      <c r="EQ176" s="40"/>
      <c r="ER176" s="40"/>
      <c r="ES176" s="40"/>
      <c r="ET176" s="40"/>
      <c r="EU176" s="40"/>
      <c r="EV176" s="40"/>
      <c r="EW176" s="40"/>
      <c r="EX176" s="40"/>
      <c r="EY176" s="40"/>
      <c r="EZ176" s="40"/>
      <c r="FA176" s="40"/>
      <c r="FB176" s="40"/>
      <c r="FC176" s="40"/>
      <c r="FD176" s="40"/>
      <c r="FE176" s="40"/>
      <c r="FF176" s="40"/>
      <c r="FG176" s="40"/>
      <c r="FH176" s="40"/>
      <c r="FI176" s="40"/>
      <c r="FJ176" s="40"/>
      <c r="FK176" s="40"/>
      <c r="FL176" s="40"/>
      <c r="FM176" s="40"/>
      <c r="FN176" s="40"/>
      <c r="FO176" s="40"/>
      <c r="FP176" s="40"/>
      <c r="FQ176" s="40"/>
      <c r="FR176" s="40"/>
      <c r="FS176" s="40"/>
      <c r="FT176" s="40"/>
      <c r="FU176" s="40"/>
      <c r="FV176" s="40"/>
    </row>
    <row r="177" spans="22:178" s="34" customFormat="1">
      <c r="V177" s="40"/>
      <c r="DK177" s="40"/>
      <c r="DL177" s="40"/>
      <c r="DM177" s="40"/>
      <c r="DN177" s="40"/>
      <c r="DO177" s="40"/>
      <c r="DP177" s="40"/>
      <c r="DQ177" s="40"/>
      <c r="DR177" s="40"/>
      <c r="DS177" s="40"/>
      <c r="DT177" s="40"/>
      <c r="DU177" s="40"/>
      <c r="DV177" s="40"/>
      <c r="DW177" s="40"/>
      <c r="DX177" s="40"/>
      <c r="DY177" s="40"/>
      <c r="DZ177" s="40"/>
      <c r="EA177" s="40"/>
      <c r="EB177" s="40"/>
      <c r="EC177" s="40"/>
      <c r="ED177" s="40"/>
      <c r="EE177" s="40"/>
      <c r="EF177" s="40"/>
      <c r="EG177" s="40"/>
      <c r="EH177" s="40"/>
      <c r="EI177" s="40"/>
      <c r="EJ177" s="40"/>
      <c r="EK177" s="40"/>
      <c r="EL177" s="40"/>
      <c r="EM177" s="40"/>
      <c r="EN177" s="40"/>
      <c r="EO177" s="40"/>
      <c r="EP177" s="40"/>
      <c r="EQ177" s="40"/>
      <c r="ER177" s="40"/>
      <c r="ES177" s="40"/>
      <c r="ET177" s="40"/>
      <c r="EU177" s="40"/>
      <c r="EV177" s="40"/>
      <c r="EW177" s="40"/>
      <c r="EX177" s="40"/>
      <c r="EY177" s="40"/>
      <c r="EZ177" s="40"/>
      <c r="FA177" s="40"/>
      <c r="FB177" s="40"/>
      <c r="FC177" s="40"/>
      <c r="FD177" s="40"/>
      <c r="FE177" s="40"/>
      <c r="FF177" s="40"/>
      <c r="FG177" s="40"/>
      <c r="FH177" s="40"/>
      <c r="FI177" s="40"/>
      <c r="FJ177" s="40"/>
      <c r="FK177" s="40"/>
      <c r="FL177" s="40"/>
      <c r="FM177" s="40"/>
      <c r="FN177" s="40"/>
      <c r="FO177" s="40"/>
      <c r="FP177" s="40"/>
      <c r="FQ177" s="40"/>
      <c r="FR177" s="40"/>
      <c r="FS177" s="40"/>
      <c r="FT177" s="40"/>
      <c r="FU177" s="40"/>
      <c r="FV177" s="40"/>
    </row>
    <row r="178" spans="22:178" s="34" customFormat="1">
      <c r="V178" s="40"/>
      <c r="DK178" s="40"/>
      <c r="DL178" s="40"/>
      <c r="DM178" s="40"/>
      <c r="DN178" s="40"/>
      <c r="DO178" s="40"/>
      <c r="DP178" s="40"/>
      <c r="DQ178" s="40"/>
      <c r="DR178" s="40"/>
      <c r="DS178" s="40"/>
      <c r="DT178" s="40"/>
      <c r="DU178" s="40"/>
      <c r="DV178" s="40"/>
      <c r="DW178" s="40"/>
      <c r="DX178" s="40"/>
      <c r="DY178" s="40"/>
      <c r="DZ178" s="40"/>
      <c r="EA178" s="40"/>
      <c r="EB178" s="40"/>
      <c r="EC178" s="40"/>
      <c r="ED178" s="40"/>
      <c r="EE178" s="40"/>
      <c r="EF178" s="40"/>
      <c r="EG178" s="40"/>
      <c r="EH178" s="40"/>
      <c r="EI178" s="40"/>
      <c r="EJ178" s="40"/>
      <c r="EK178" s="40"/>
      <c r="EL178" s="40"/>
      <c r="EM178" s="40"/>
      <c r="EN178" s="40"/>
      <c r="EO178" s="40"/>
      <c r="EP178" s="40"/>
      <c r="EQ178" s="40"/>
      <c r="ER178" s="40"/>
      <c r="ES178" s="40"/>
      <c r="ET178" s="40"/>
      <c r="EU178" s="40"/>
      <c r="EV178" s="40"/>
      <c r="EW178" s="40"/>
      <c r="EX178" s="40"/>
      <c r="EY178" s="40"/>
      <c r="EZ178" s="40"/>
      <c r="FA178" s="40"/>
      <c r="FB178" s="40"/>
      <c r="FC178" s="40"/>
      <c r="FD178" s="40"/>
      <c r="FE178" s="40"/>
      <c r="FF178" s="40"/>
      <c r="FG178" s="40"/>
      <c r="FH178" s="40"/>
      <c r="FI178" s="40"/>
      <c r="FJ178" s="40"/>
      <c r="FK178" s="40"/>
      <c r="FL178" s="40"/>
      <c r="FM178" s="40"/>
      <c r="FN178" s="40"/>
      <c r="FO178" s="40"/>
      <c r="FP178" s="40"/>
      <c r="FQ178" s="40"/>
      <c r="FR178" s="40"/>
      <c r="FS178" s="40"/>
      <c r="FT178" s="40"/>
      <c r="FU178" s="40"/>
      <c r="FV178" s="40"/>
    </row>
    <row r="179" spans="22:178" s="34" customFormat="1">
      <c r="V179" s="40"/>
      <c r="DK179" s="40"/>
      <c r="DL179" s="40"/>
      <c r="DM179" s="40"/>
      <c r="DN179" s="40"/>
      <c r="DO179" s="40"/>
      <c r="DP179" s="40"/>
      <c r="DQ179" s="40"/>
      <c r="DR179" s="40"/>
      <c r="DS179" s="40"/>
      <c r="DT179" s="40"/>
      <c r="DU179" s="40"/>
      <c r="DV179" s="40"/>
      <c r="DW179" s="40"/>
      <c r="DX179" s="40"/>
      <c r="DY179" s="40"/>
      <c r="DZ179" s="40"/>
      <c r="EA179" s="40"/>
      <c r="EB179" s="40"/>
      <c r="EC179" s="40"/>
      <c r="ED179" s="40"/>
      <c r="EE179" s="40"/>
      <c r="EF179" s="40"/>
      <c r="EG179" s="40"/>
      <c r="EH179" s="40"/>
      <c r="EI179" s="40"/>
      <c r="EJ179" s="40"/>
      <c r="EK179" s="40"/>
      <c r="EL179" s="40"/>
      <c r="EM179" s="40"/>
      <c r="EN179" s="40"/>
      <c r="EO179" s="40"/>
      <c r="EP179" s="40"/>
      <c r="EQ179" s="40"/>
      <c r="ER179" s="40"/>
      <c r="ES179" s="40"/>
      <c r="ET179" s="40"/>
      <c r="EU179" s="40"/>
      <c r="EV179" s="40"/>
      <c r="EW179" s="40"/>
      <c r="EX179" s="40"/>
      <c r="EY179" s="40"/>
      <c r="EZ179" s="40"/>
      <c r="FA179" s="40"/>
      <c r="FB179" s="40"/>
      <c r="FC179" s="40"/>
      <c r="FD179" s="40"/>
      <c r="FE179" s="40"/>
      <c r="FF179" s="40"/>
      <c r="FG179" s="40"/>
      <c r="FH179" s="40"/>
      <c r="FI179" s="40"/>
      <c r="FJ179" s="40"/>
      <c r="FK179" s="40"/>
      <c r="FL179" s="40"/>
      <c r="FM179" s="40"/>
      <c r="FN179" s="40"/>
      <c r="FO179" s="40"/>
      <c r="FP179" s="40"/>
      <c r="FQ179" s="40"/>
      <c r="FR179" s="40"/>
      <c r="FS179" s="40"/>
      <c r="FT179" s="40"/>
      <c r="FU179" s="40"/>
      <c r="FV179" s="40"/>
    </row>
    <row r="180" spans="22:178" s="34" customFormat="1">
      <c r="V180" s="40"/>
      <c r="DK180" s="40"/>
      <c r="DL180" s="40"/>
      <c r="DM180" s="40"/>
      <c r="DN180" s="40"/>
      <c r="DO180" s="40"/>
      <c r="DP180" s="40"/>
      <c r="DQ180" s="40"/>
      <c r="DR180" s="40"/>
      <c r="DS180" s="40"/>
      <c r="DT180" s="40"/>
      <c r="DU180" s="40"/>
      <c r="DV180" s="40"/>
      <c r="DW180" s="40"/>
      <c r="DX180" s="40"/>
      <c r="DY180" s="40"/>
      <c r="DZ180" s="40"/>
      <c r="EA180" s="40"/>
      <c r="EB180" s="40"/>
      <c r="EC180" s="40"/>
      <c r="ED180" s="40"/>
      <c r="EE180" s="40"/>
      <c r="EF180" s="40"/>
      <c r="EG180" s="40"/>
      <c r="EH180" s="40"/>
      <c r="EI180" s="40"/>
      <c r="EJ180" s="40"/>
      <c r="EK180" s="40"/>
      <c r="EL180" s="40"/>
      <c r="EM180" s="40"/>
      <c r="EN180" s="40"/>
      <c r="EO180" s="40"/>
      <c r="EP180" s="40"/>
      <c r="EQ180" s="40"/>
      <c r="ER180" s="40"/>
      <c r="ES180" s="40"/>
      <c r="ET180" s="40"/>
      <c r="EU180" s="40"/>
      <c r="EV180" s="40"/>
      <c r="EW180" s="40"/>
      <c r="EX180" s="40"/>
      <c r="EY180" s="40"/>
      <c r="EZ180" s="40"/>
      <c r="FA180" s="40"/>
      <c r="FB180" s="40"/>
      <c r="FC180" s="40"/>
      <c r="FD180" s="40"/>
      <c r="FE180" s="40"/>
      <c r="FF180" s="40"/>
      <c r="FG180" s="40"/>
      <c r="FH180" s="40"/>
      <c r="FI180" s="40"/>
      <c r="FJ180" s="40"/>
      <c r="FK180" s="40"/>
      <c r="FL180" s="40"/>
      <c r="FM180" s="40"/>
      <c r="FN180" s="40"/>
      <c r="FO180" s="40"/>
      <c r="FP180" s="40"/>
      <c r="FQ180" s="40"/>
      <c r="FR180" s="40"/>
      <c r="FS180" s="40"/>
      <c r="FT180" s="40"/>
      <c r="FU180" s="40"/>
      <c r="FV180" s="40"/>
    </row>
    <row r="181" spans="22:178" s="34" customFormat="1">
      <c r="V181" s="40"/>
      <c r="DK181" s="40"/>
      <c r="DL181" s="40"/>
      <c r="DM181" s="40"/>
      <c r="DN181" s="40"/>
      <c r="DO181" s="40"/>
      <c r="DP181" s="40"/>
      <c r="DQ181" s="40"/>
      <c r="DR181" s="40"/>
      <c r="DS181" s="40"/>
      <c r="DT181" s="40"/>
      <c r="DU181" s="40"/>
      <c r="DV181" s="40"/>
      <c r="DW181" s="40"/>
      <c r="DX181" s="40"/>
      <c r="DY181" s="40"/>
      <c r="DZ181" s="40"/>
      <c r="EA181" s="40"/>
      <c r="EB181" s="40"/>
      <c r="EC181" s="40"/>
      <c r="ED181" s="40"/>
      <c r="EE181" s="40"/>
      <c r="EF181" s="40"/>
      <c r="EG181" s="40"/>
      <c r="EH181" s="40"/>
      <c r="EI181" s="40"/>
      <c r="EJ181" s="40"/>
      <c r="EK181" s="40"/>
      <c r="EL181" s="40"/>
      <c r="EM181" s="40"/>
      <c r="EN181" s="40"/>
      <c r="EO181" s="40"/>
      <c r="EP181" s="40"/>
      <c r="EQ181" s="40"/>
      <c r="ER181" s="40"/>
      <c r="ES181" s="40"/>
      <c r="ET181" s="40"/>
      <c r="EU181" s="40"/>
      <c r="EV181" s="40"/>
      <c r="EW181" s="40"/>
      <c r="EX181" s="40"/>
      <c r="EY181" s="40"/>
      <c r="EZ181" s="40"/>
      <c r="FA181" s="40"/>
      <c r="FB181" s="40"/>
      <c r="FC181" s="40"/>
      <c r="FD181" s="40"/>
      <c r="FE181" s="40"/>
      <c r="FF181" s="40"/>
      <c r="FG181" s="40"/>
      <c r="FH181" s="40"/>
      <c r="FI181" s="40"/>
      <c r="FJ181" s="40"/>
      <c r="FK181" s="40"/>
      <c r="FL181" s="40"/>
      <c r="FM181" s="40"/>
      <c r="FN181" s="40"/>
      <c r="FO181" s="40"/>
      <c r="FP181" s="40"/>
      <c r="FQ181" s="40"/>
      <c r="FR181" s="40"/>
      <c r="FS181" s="40"/>
      <c r="FT181" s="40"/>
      <c r="FU181" s="40"/>
      <c r="FV181" s="40"/>
    </row>
    <row r="182" spans="22:178" s="34" customFormat="1">
      <c r="V182" s="40"/>
      <c r="DK182" s="40"/>
      <c r="DL182" s="40"/>
      <c r="DM182" s="40"/>
      <c r="DN182" s="40"/>
      <c r="DO182" s="40"/>
      <c r="DP182" s="40"/>
      <c r="DQ182" s="40"/>
      <c r="DR182" s="40"/>
      <c r="DS182" s="40"/>
      <c r="DT182" s="40"/>
      <c r="DU182" s="40"/>
      <c r="DV182" s="40"/>
      <c r="DW182" s="40"/>
      <c r="DX182" s="40"/>
      <c r="DY182" s="40"/>
      <c r="DZ182" s="40"/>
      <c r="EA182" s="40"/>
      <c r="EB182" s="40"/>
      <c r="EC182" s="40"/>
      <c r="ED182" s="40"/>
      <c r="EE182" s="40"/>
      <c r="EF182" s="40"/>
      <c r="EG182" s="40"/>
      <c r="EH182" s="40"/>
      <c r="EI182" s="40"/>
      <c r="EJ182" s="40"/>
      <c r="EK182" s="40"/>
      <c r="EL182" s="40"/>
      <c r="EM182" s="40"/>
      <c r="EN182" s="40"/>
      <c r="EO182" s="40"/>
      <c r="EP182" s="40"/>
      <c r="EQ182" s="40"/>
      <c r="ER182" s="40"/>
      <c r="ES182" s="40"/>
      <c r="ET182" s="40"/>
      <c r="EU182" s="40"/>
      <c r="EV182" s="40"/>
      <c r="EW182" s="40"/>
      <c r="EX182" s="40"/>
      <c r="EY182" s="40"/>
      <c r="EZ182" s="40"/>
      <c r="FA182" s="40"/>
      <c r="FB182" s="40"/>
      <c r="FC182" s="40"/>
      <c r="FD182" s="40"/>
      <c r="FE182" s="40"/>
      <c r="FF182" s="40"/>
      <c r="FG182" s="40"/>
      <c r="FH182" s="40"/>
      <c r="FI182" s="40"/>
      <c r="FJ182" s="40"/>
      <c r="FK182" s="40"/>
      <c r="FL182" s="40"/>
      <c r="FM182" s="40"/>
      <c r="FN182" s="40"/>
      <c r="FO182" s="40"/>
      <c r="FP182" s="40"/>
      <c r="FQ182" s="40"/>
      <c r="FR182" s="40"/>
      <c r="FS182" s="40"/>
      <c r="FT182" s="40"/>
      <c r="FU182" s="40"/>
      <c r="FV182" s="40"/>
    </row>
    <row r="183" spans="22:178" s="34" customFormat="1">
      <c r="V183" s="40"/>
      <c r="DK183" s="40"/>
      <c r="DL183" s="40"/>
      <c r="DM183" s="40"/>
      <c r="DN183" s="40"/>
      <c r="DO183" s="40"/>
      <c r="DP183" s="40"/>
      <c r="DQ183" s="40"/>
      <c r="DR183" s="40"/>
      <c r="DS183" s="40"/>
      <c r="DT183" s="40"/>
      <c r="DU183" s="40"/>
      <c r="DV183" s="40"/>
      <c r="DW183" s="40"/>
      <c r="DX183" s="40"/>
      <c r="DY183" s="40"/>
      <c r="DZ183" s="40"/>
      <c r="EA183" s="40"/>
      <c r="EB183" s="40"/>
      <c r="EC183" s="40"/>
      <c r="ED183" s="40"/>
      <c r="EE183" s="40"/>
      <c r="EF183" s="40"/>
      <c r="EG183" s="40"/>
      <c r="EH183" s="40"/>
      <c r="EI183" s="40"/>
      <c r="EJ183" s="40"/>
      <c r="EK183" s="40"/>
      <c r="EL183" s="40"/>
      <c r="EM183" s="40"/>
      <c r="EN183" s="40"/>
      <c r="EO183" s="40"/>
      <c r="EP183" s="40"/>
      <c r="EQ183" s="40"/>
      <c r="ER183" s="40"/>
      <c r="ES183" s="40"/>
      <c r="ET183" s="40"/>
      <c r="EU183" s="40"/>
      <c r="EV183" s="40"/>
      <c r="EW183" s="40"/>
      <c r="EX183" s="40"/>
      <c r="EY183" s="40"/>
      <c r="EZ183" s="40"/>
      <c r="FA183" s="40"/>
      <c r="FB183" s="40"/>
      <c r="FC183" s="40"/>
      <c r="FD183" s="40"/>
      <c r="FE183" s="40"/>
      <c r="FF183" s="40"/>
      <c r="FG183" s="40"/>
      <c r="FH183" s="40"/>
      <c r="FI183" s="40"/>
      <c r="FJ183" s="40"/>
      <c r="FK183" s="40"/>
      <c r="FL183" s="40"/>
      <c r="FM183" s="40"/>
      <c r="FN183" s="40"/>
      <c r="FO183" s="40"/>
      <c r="FP183" s="40"/>
      <c r="FQ183" s="40"/>
      <c r="FR183" s="40"/>
      <c r="FS183" s="40"/>
      <c r="FT183" s="40"/>
      <c r="FU183" s="40"/>
      <c r="FV183" s="40"/>
    </row>
    <row r="184" spans="22:178" s="34" customFormat="1">
      <c r="V184" s="40"/>
      <c r="DK184" s="40"/>
      <c r="DL184" s="40"/>
      <c r="DM184" s="40"/>
      <c r="DN184" s="40"/>
      <c r="DO184" s="40"/>
      <c r="DP184" s="40"/>
      <c r="DQ184" s="40"/>
      <c r="DR184" s="40"/>
      <c r="DS184" s="40"/>
      <c r="DT184" s="40"/>
      <c r="DU184" s="40"/>
      <c r="DV184" s="40"/>
      <c r="DW184" s="40"/>
      <c r="DX184" s="40"/>
      <c r="DY184" s="40"/>
      <c r="DZ184" s="40"/>
      <c r="EA184" s="40"/>
      <c r="EB184" s="40"/>
      <c r="EC184" s="40"/>
      <c r="ED184" s="40"/>
      <c r="EE184" s="40"/>
      <c r="EF184" s="40"/>
      <c r="EG184" s="40"/>
      <c r="EH184" s="40"/>
      <c r="EI184" s="40"/>
      <c r="EJ184" s="40"/>
      <c r="EK184" s="40"/>
      <c r="EL184" s="40"/>
      <c r="EM184" s="40"/>
      <c r="EN184" s="40"/>
      <c r="EO184" s="40"/>
      <c r="EP184" s="40"/>
      <c r="EQ184" s="40"/>
      <c r="ER184" s="40"/>
      <c r="ES184" s="40"/>
      <c r="ET184" s="40"/>
      <c r="EU184" s="40"/>
      <c r="EV184" s="40"/>
      <c r="EW184" s="40"/>
      <c r="EX184" s="40"/>
      <c r="EY184" s="40"/>
      <c r="EZ184" s="40"/>
      <c r="FA184" s="40"/>
      <c r="FB184" s="40"/>
      <c r="FC184" s="40"/>
      <c r="FD184" s="40"/>
      <c r="FE184" s="40"/>
      <c r="FF184" s="40"/>
      <c r="FG184" s="40"/>
      <c r="FH184" s="40"/>
      <c r="FI184" s="40"/>
      <c r="FJ184" s="40"/>
      <c r="FK184" s="40"/>
      <c r="FL184" s="40"/>
      <c r="FM184" s="40"/>
      <c r="FN184" s="40"/>
      <c r="FO184" s="40"/>
      <c r="FP184" s="40"/>
      <c r="FQ184" s="40"/>
      <c r="FR184" s="40"/>
      <c r="FS184" s="40"/>
      <c r="FT184" s="40"/>
      <c r="FU184" s="40"/>
      <c r="FV184" s="40"/>
    </row>
    <row r="185" spans="22:178" s="34" customFormat="1">
      <c r="V185" s="40"/>
      <c r="DK185" s="40"/>
      <c r="DL185" s="40"/>
      <c r="DM185" s="40"/>
      <c r="DN185" s="40"/>
      <c r="DO185" s="40"/>
      <c r="DP185" s="40"/>
      <c r="DQ185" s="40"/>
      <c r="DR185" s="40"/>
      <c r="DS185" s="40"/>
      <c r="DT185" s="40"/>
      <c r="DU185" s="40"/>
      <c r="DV185" s="40"/>
      <c r="DW185" s="40"/>
      <c r="DX185" s="40"/>
      <c r="DY185" s="40"/>
      <c r="DZ185" s="40"/>
      <c r="EA185" s="40"/>
      <c r="EB185" s="40"/>
      <c r="EC185" s="40"/>
      <c r="ED185" s="40"/>
      <c r="EE185" s="40"/>
      <c r="EF185" s="40"/>
      <c r="EG185" s="40"/>
      <c r="EH185" s="40"/>
      <c r="EI185" s="40"/>
      <c r="EJ185" s="40"/>
      <c r="EK185" s="40"/>
      <c r="EL185" s="40"/>
      <c r="EM185" s="40"/>
      <c r="EN185" s="40"/>
      <c r="EO185" s="40"/>
      <c r="EP185" s="40"/>
      <c r="EQ185" s="40"/>
      <c r="ER185" s="40"/>
      <c r="ES185" s="40"/>
      <c r="ET185" s="40"/>
      <c r="EU185" s="40"/>
      <c r="EV185" s="40"/>
      <c r="EW185" s="40"/>
      <c r="EX185" s="40"/>
      <c r="EY185" s="40"/>
      <c r="EZ185" s="40"/>
      <c r="FA185" s="40"/>
      <c r="FB185" s="40"/>
      <c r="FC185" s="40"/>
      <c r="FD185" s="40"/>
      <c r="FE185" s="40"/>
      <c r="FF185" s="40"/>
      <c r="FG185" s="40"/>
      <c r="FH185" s="40"/>
      <c r="FI185" s="40"/>
      <c r="FJ185" s="40"/>
      <c r="FK185" s="40"/>
      <c r="FL185" s="40"/>
      <c r="FM185" s="40"/>
      <c r="FN185" s="40"/>
      <c r="FO185" s="40"/>
      <c r="FP185" s="40"/>
      <c r="FQ185" s="40"/>
      <c r="FR185" s="40"/>
      <c r="FS185" s="40"/>
      <c r="FT185" s="40"/>
      <c r="FU185" s="40"/>
      <c r="FV185" s="40"/>
    </row>
    <row r="186" spans="22:178" s="34" customFormat="1">
      <c r="V186" s="40"/>
      <c r="DK186" s="40"/>
      <c r="DL186" s="40"/>
      <c r="DM186" s="40"/>
      <c r="DN186" s="40"/>
      <c r="DO186" s="40"/>
      <c r="DP186" s="40"/>
      <c r="DQ186" s="40"/>
      <c r="DR186" s="40"/>
      <c r="DS186" s="40"/>
      <c r="DT186" s="40"/>
      <c r="DU186" s="40"/>
      <c r="DV186" s="40"/>
      <c r="DW186" s="40"/>
      <c r="DX186" s="40"/>
      <c r="DY186" s="40"/>
      <c r="DZ186" s="40"/>
      <c r="EA186" s="40"/>
      <c r="EB186" s="40"/>
      <c r="EC186" s="40"/>
      <c r="ED186" s="40"/>
      <c r="EE186" s="40"/>
      <c r="EF186" s="40"/>
      <c r="EG186" s="40"/>
      <c r="EH186" s="40"/>
      <c r="EI186" s="40"/>
      <c r="EJ186" s="40"/>
      <c r="EK186" s="40"/>
      <c r="EL186" s="40"/>
      <c r="EM186" s="40"/>
      <c r="EN186" s="40"/>
      <c r="EO186" s="40"/>
      <c r="EP186" s="40"/>
      <c r="EQ186" s="40"/>
      <c r="ER186" s="40"/>
      <c r="ES186" s="40"/>
      <c r="ET186" s="40"/>
      <c r="EU186" s="40"/>
      <c r="EV186" s="40"/>
      <c r="EW186" s="40"/>
      <c r="EX186" s="40"/>
      <c r="EY186" s="40"/>
      <c r="EZ186" s="40"/>
      <c r="FA186" s="40"/>
      <c r="FB186" s="40"/>
      <c r="FC186" s="40"/>
      <c r="FD186" s="40"/>
      <c r="FE186" s="40"/>
      <c r="FF186" s="40"/>
      <c r="FG186" s="40"/>
      <c r="FH186" s="40"/>
      <c r="FI186" s="40"/>
      <c r="FJ186" s="40"/>
      <c r="FK186" s="40"/>
      <c r="FL186" s="40"/>
      <c r="FM186" s="40"/>
      <c r="FN186" s="40"/>
      <c r="FO186" s="40"/>
      <c r="FP186" s="40"/>
      <c r="FQ186" s="40"/>
      <c r="FR186" s="40"/>
      <c r="FS186" s="40"/>
      <c r="FT186" s="40"/>
      <c r="FU186" s="40"/>
      <c r="FV186" s="40"/>
    </row>
    <row r="187" spans="22:178" s="34" customFormat="1">
      <c r="V187" s="40"/>
      <c r="DK187" s="40"/>
      <c r="DL187" s="40"/>
      <c r="DM187" s="40"/>
      <c r="DN187" s="40"/>
      <c r="DO187" s="40"/>
      <c r="DP187" s="40"/>
      <c r="DQ187" s="40"/>
      <c r="DR187" s="40"/>
      <c r="DS187" s="40"/>
      <c r="DT187" s="40"/>
      <c r="DU187" s="40"/>
      <c r="DV187" s="40"/>
      <c r="DW187" s="40"/>
      <c r="DX187" s="40"/>
      <c r="DY187" s="40"/>
      <c r="DZ187" s="40"/>
      <c r="EA187" s="40"/>
      <c r="EB187" s="40"/>
      <c r="EC187" s="40"/>
      <c r="ED187" s="40"/>
      <c r="EE187" s="40"/>
      <c r="EF187" s="40"/>
      <c r="EG187" s="40"/>
      <c r="EH187" s="40"/>
      <c r="EI187" s="40"/>
      <c r="EJ187" s="40"/>
      <c r="EK187" s="40"/>
      <c r="EL187" s="40"/>
      <c r="EM187" s="40"/>
      <c r="EN187" s="40"/>
      <c r="EO187" s="40"/>
      <c r="EP187" s="40"/>
      <c r="EQ187" s="40"/>
      <c r="ER187" s="40"/>
      <c r="ES187" s="40"/>
      <c r="ET187" s="40"/>
      <c r="EU187" s="40"/>
      <c r="EV187" s="40"/>
      <c r="EW187" s="40"/>
      <c r="EX187" s="40"/>
      <c r="EY187" s="40"/>
      <c r="EZ187" s="40"/>
      <c r="FA187" s="40"/>
      <c r="FB187" s="40"/>
      <c r="FC187" s="40"/>
      <c r="FD187" s="40"/>
      <c r="FE187" s="40"/>
      <c r="FF187" s="40"/>
      <c r="FG187" s="40"/>
      <c r="FH187" s="40"/>
      <c r="FI187" s="40"/>
      <c r="FJ187" s="40"/>
      <c r="FK187" s="40"/>
      <c r="FL187" s="40"/>
      <c r="FM187" s="40"/>
      <c r="FN187" s="40"/>
      <c r="FO187" s="40"/>
      <c r="FP187" s="40"/>
      <c r="FQ187" s="40"/>
      <c r="FR187" s="40"/>
      <c r="FS187" s="40"/>
      <c r="FT187" s="40"/>
      <c r="FU187" s="40"/>
      <c r="FV187" s="40"/>
    </row>
    <row r="188" spans="22:178" s="34" customFormat="1">
      <c r="V188" s="40"/>
      <c r="DK188" s="40"/>
      <c r="DL188" s="40"/>
      <c r="DM188" s="40"/>
      <c r="DN188" s="40"/>
      <c r="DO188" s="40"/>
      <c r="DP188" s="40"/>
      <c r="DQ188" s="40"/>
      <c r="DR188" s="40"/>
      <c r="DS188" s="40"/>
      <c r="DT188" s="40"/>
      <c r="DU188" s="40"/>
      <c r="DV188" s="40"/>
      <c r="DW188" s="40"/>
      <c r="DX188" s="40"/>
      <c r="DY188" s="40"/>
      <c r="DZ188" s="40"/>
      <c r="EA188" s="40"/>
      <c r="EB188" s="40"/>
      <c r="EC188" s="40"/>
      <c r="ED188" s="40"/>
      <c r="EE188" s="40"/>
      <c r="EF188" s="40"/>
      <c r="EG188" s="40"/>
      <c r="EH188" s="40"/>
      <c r="EI188" s="40"/>
      <c r="EJ188" s="40"/>
      <c r="EK188" s="40"/>
      <c r="EL188" s="40"/>
      <c r="EM188" s="40"/>
      <c r="EN188" s="40"/>
      <c r="EO188" s="40"/>
      <c r="EP188" s="40"/>
      <c r="EQ188" s="40"/>
      <c r="ER188" s="40"/>
      <c r="ES188" s="40"/>
      <c r="ET188" s="40"/>
      <c r="EU188" s="40"/>
      <c r="EV188" s="40"/>
      <c r="EW188" s="40"/>
      <c r="EX188" s="40"/>
      <c r="EY188" s="40"/>
      <c r="EZ188" s="40"/>
      <c r="FA188" s="40"/>
      <c r="FB188" s="40"/>
      <c r="FC188" s="40"/>
      <c r="FD188" s="40"/>
      <c r="FE188" s="40"/>
      <c r="FF188" s="40"/>
      <c r="FG188" s="40"/>
      <c r="FH188" s="40"/>
      <c r="FI188" s="40"/>
      <c r="FJ188" s="40"/>
      <c r="FK188" s="40"/>
      <c r="FL188" s="40"/>
      <c r="FM188" s="40"/>
      <c r="FN188" s="40"/>
      <c r="FO188" s="40"/>
      <c r="FP188" s="40"/>
      <c r="FQ188" s="40"/>
      <c r="FR188" s="40"/>
      <c r="FS188" s="40"/>
      <c r="FT188" s="40"/>
      <c r="FU188" s="40"/>
      <c r="FV188" s="40"/>
    </row>
    <row r="189" spans="22:178" s="34" customFormat="1">
      <c r="V189" s="40"/>
      <c r="DK189" s="40"/>
      <c r="DL189" s="40"/>
      <c r="DM189" s="40"/>
      <c r="DN189" s="40"/>
      <c r="DO189" s="40"/>
      <c r="DP189" s="40"/>
      <c r="DQ189" s="40"/>
      <c r="DR189" s="40"/>
      <c r="DS189" s="40"/>
      <c r="DT189" s="40"/>
      <c r="DU189" s="40"/>
      <c r="DV189" s="40"/>
      <c r="DW189" s="40"/>
      <c r="DX189" s="40"/>
      <c r="DY189" s="40"/>
      <c r="DZ189" s="40"/>
      <c r="EA189" s="40"/>
      <c r="EB189" s="40"/>
      <c r="EC189" s="40"/>
      <c r="ED189" s="40"/>
      <c r="EE189" s="40"/>
      <c r="EF189" s="40"/>
      <c r="EG189" s="40"/>
      <c r="EH189" s="40"/>
      <c r="EI189" s="40"/>
      <c r="EJ189" s="40"/>
      <c r="EK189" s="40"/>
      <c r="EL189" s="40"/>
      <c r="EM189" s="40"/>
      <c r="EN189" s="40"/>
      <c r="EO189" s="40"/>
      <c r="EP189" s="40"/>
      <c r="EQ189" s="40"/>
      <c r="ER189" s="40"/>
      <c r="ES189" s="40"/>
      <c r="ET189" s="40"/>
      <c r="EU189" s="40"/>
      <c r="EV189" s="40"/>
      <c r="EW189" s="40"/>
      <c r="EX189" s="40"/>
      <c r="EY189" s="40"/>
      <c r="EZ189" s="40"/>
      <c r="FA189" s="40"/>
      <c r="FB189" s="40"/>
      <c r="FC189" s="40"/>
      <c r="FD189" s="40"/>
      <c r="FE189" s="40"/>
      <c r="FF189" s="40"/>
      <c r="FG189" s="40"/>
      <c r="FH189" s="40"/>
      <c r="FI189" s="40"/>
      <c r="FJ189" s="40"/>
      <c r="FK189" s="40"/>
      <c r="FL189" s="40"/>
      <c r="FM189" s="40"/>
      <c r="FN189" s="40"/>
      <c r="FO189" s="40"/>
      <c r="FP189" s="40"/>
      <c r="FQ189" s="40"/>
      <c r="FR189" s="40"/>
      <c r="FS189" s="40"/>
      <c r="FT189" s="40"/>
      <c r="FU189" s="40"/>
      <c r="FV189" s="40"/>
    </row>
    <row r="190" spans="22:178" s="34" customFormat="1">
      <c r="V190" s="40"/>
      <c r="DK190" s="40"/>
      <c r="DL190" s="40"/>
      <c r="DM190" s="40"/>
      <c r="DN190" s="40"/>
      <c r="DO190" s="40"/>
      <c r="DP190" s="40"/>
      <c r="DQ190" s="40"/>
      <c r="DR190" s="40"/>
      <c r="DS190" s="40"/>
      <c r="DT190" s="40"/>
      <c r="DU190" s="40"/>
      <c r="DV190" s="40"/>
      <c r="DW190" s="40"/>
      <c r="DX190" s="40"/>
      <c r="DY190" s="40"/>
      <c r="DZ190" s="40"/>
      <c r="EA190" s="40"/>
      <c r="EB190" s="40"/>
      <c r="EC190" s="40"/>
      <c r="ED190" s="40"/>
      <c r="EE190" s="40"/>
      <c r="EF190" s="40"/>
      <c r="EG190" s="40"/>
      <c r="EH190" s="40"/>
      <c r="EI190" s="40"/>
      <c r="EJ190" s="40"/>
      <c r="EK190" s="40"/>
      <c r="EL190" s="40"/>
      <c r="EM190" s="40"/>
      <c r="EN190" s="40"/>
      <c r="EO190" s="40"/>
      <c r="EP190" s="40"/>
      <c r="EQ190" s="40"/>
      <c r="ER190" s="40"/>
      <c r="ES190" s="40"/>
      <c r="ET190" s="40"/>
      <c r="EU190" s="40"/>
      <c r="EV190" s="40"/>
      <c r="EW190" s="40"/>
      <c r="EX190" s="40"/>
      <c r="EY190" s="40"/>
      <c r="EZ190" s="40"/>
      <c r="FA190" s="40"/>
      <c r="FB190" s="40"/>
      <c r="FC190" s="40"/>
      <c r="FD190" s="40"/>
      <c r="FE190" s="40"/>
      <c r="FF190" s="40"/>
      <c r="FG190" s="40"/>
      <c r="FH190" s="40"/>
      <c r="FI190" s="40"/>
      <c r="FJ190" s="40"/>
      <c r="FK190" s="40"/>
      <c r="FL190" s="40"/>
      <c r="FM190" s="40"/>
      <c r="FN190" s="40"/>
      <c r="FO190" s="40"/>
      <c r="FP190" s="40"/>
      <c r="FQ190" s="40"/>
      <c r="FR190" s="40"/>
      <c r="FS190" s="40"/>
      <c r="FT190" s="40"/>
      <c r="FU190" s="40"/>
      <c r="FV190" s="40"/>
    </row>
    <row r="191" spans="22:178" s="34" customFormat="1">
      <c r="V191" s="40"/>
      <c r="DK191" s="40"/>
      <c r="DL191" s="40"/>
      <c r="DM191" s="40"/>
      <c r="DN191" s="40"/>
      <c r="DO191" s="40"/>
      <c r="DP191" s="40"/>
      <c r="DQ191" s="40"/>
      <c r="DR191" s="40"/>
      <c r="DS191" s="40"/>
      <c r="DT191" s="40"/>
      <c r="DU191" s="40"/>
      <c r="DV191" s="40"/>
      <c r="DW191" s="40"/>
      <c r="DX191" s="40"/>
      <c r="DY191" s="40"/>
      <c r="DZ191" s="40"/>
      <c r="EA191" s="40"/>
      <c r="EB191" s="40"/>
      <c r="EC191" s="40"/>
      <c r="ED191" s="40"/>
      <c r="EE191" s="40"/>
      <c r="EF191" s="40"/>
      <c r="EG191" s="40"/>
      <c r="EH191" s="40"/>
      <c r="EI191" s="40"/>
      <c r="EJ191" s="40"/>
      <c r="EK191" s="40"/>
      <c r="EL191" s="40"/>
      <c r="EM191" s="40"/>
      <c r="EN191" s="40"/>
      <c r="EO191" s="40"/>
      <c r="EP191" s="40"/>
      <c r="EQ191" s="40"/>
      <c r="ER191" s="40"/>
      <c r="ES191" s="40"/>
      <c r="ET191" s="40"/>
      <c r="EU191" s="40"/>
      <c r="EV191" s="40"/>
      <c r="EW191" s="40"/>
      <c r="EX191" s="40"/>
      <c r="EY191" s="40"/>
      <c r="EZ191" s="40"/>
      <c r="FA191" s="40"/>
      <c r="FB191" s="40"/>
      <c r="FC191" s="40"/>
      <c r="FD191" s="40"/>
      <c r="FE191" s="40"/>
      <c r="FF191" s="40"/>
      <c r="FG191" s="40"/>
      <c r="FH191" s="40"/>
      <c r="FI191" s="40"/>
      <c r="FJ191" s="40"/>
      <c r="FK191" s="40"/>
      <c r="FL191" s="40"/>
      <c r="FM191" s="40"/>
      <c r="FN191" s="40"/>
      <c r="FO191" s="40"/>
      <c r="FP191" s="40"/>
      <c r="FQ191" s="40"/>
      <c r="FR191" s="40"/>
      <c r="FS191" s="40"/>
      <c r="FT191" s="40"/>
      <c r="FU191" s="40"/>
      <c r="FV191" s="40"/>
    </row>
    <row r="192" spans="22:178" s="34" customFormat="1">
      <c r="V192" s="40"/>
      <c r="DK192" s="40"/>
      <c r="DL192" s="40"/>
      <c r="DM192" s="40"/>
      <c r="DN192" s="40"/>
      <c r="DO192" s="40"/>
      <c r="DP192" s="40"/>
      <c r="DQ192" s="40"/>
      <c r="DR192" s="40"/>
      <c r="DS192" s="40"/>
      <c r="DT192" s="40"/>
      <c r="DU192" s="40"/>
      <c r="DV192" s="40"/>
      <c r="DW192" s="40"/>
      <c r="DX192" s="40"/>
      <c r="DY192" s="40"/>
      <c r="DZ192" s="40"/>
      <c r="EA192" s="40"/>
      <c r="EB192" s="40"/>
      <c r="EC192" s="40"/>
      <c r="ED192" s="40"/>
      <c r="EE192" s="40"/>
      <c r="EF192" s="40"/>
      <c r="EG192" s="40"/>
      <c r="EH192" s="40"/>
      <c r="EI192" s="40"/>
      <c r="EJ192" s="40"/>
      <c r="EK192" s="40"/>
      <c r="EL192" s="40"/>
      <c r="EM192" s="40"/>
      <c r="EN192" s="40"/>
      <c r="EO192" s="40"/>
      <c r="EP192" s="40"/>
      <c r="EQ192" s="40"/>
      <c r="ER192" s="40"/>
      <c r="ES192" s="40"/>
      <c r="ET192" s="40"/>
      <c r="EU192" s="40"/>
      <c r="EV192" s="40"/>
      <c r="EW192" s="40"/>
      <c r="EX192" s="40"/>
      <c r="EY192" s="40"/>
      <c r="EZ192" s="40"/>
      <c r="FA192" s="40"/>
      <c r="FB192" s="40"/>
      <c r="FC192" s="40"/>
      <c r="FD192" s="40"/>
      <c r="FE192" s="40"/>
      <c r="FF192" s="40"/>
      <c r="FG192" s="40"/>
      <c r="FH192" s="40"/>
      <c r="FI192" s="40"/>
      <c r="FJ192" s="40"/>
      <c r="FK192" s="40"/>
      <c r="FL192" s="40"/>
      <c r="FM192" s="40"/>
      <c r="FN192" s="40"/>
      <c r="FO192" s="40"/>
      <c r="FP192" s="40"/>
      <c r="FQ192" s="40"/>
      <c r="FR192" s="40"/>
      <c r="FS192" s="40"/>
      <c r="FT192" s="40"/>
      <c r="FU192" s="40"/>
      <c r="FV192" s="40"/>
    </row>
    <row r="193" spans="22:178" s="34" customFormat="1">
      <c r="V193" s="40"/>
      <c r="DK193" s="40"/>
      <c r="DL193" s="40"/>
      <c r="DM193" s="40"/>
      <c r="DN193" s="40"/>
      <c r="DO193" s="40"/>
      <c r="DP193" s="40"/>
      <c r="DQ193" s="40"/>
      <c r="DR193" s="40"/>
      <c r="DS193" s="40"/>
      <c r="DT193" s="40"/>
      <c r="DU193" s="40"/>
      <c r="DV193" s="40"/>
      <c r="DW193" s="40"/>
      <c r="DX193" s="40"/>
      <c r="DY193" s="40"/>
      <c r="DZ193" s="40"/>
      <c r="EA193" s="40"/>
      <c r="EB193" s="40"/>
      <c r="EC193" s="40"/>
      <c r="ED193" s="40"/>
      <c r="EE193" s="40"/>
      <c r="EF193" s="40"/>
      <c r="EG193" s="40"/>
      <c r="EH193" s="40"/>
      <c r="EI193" s="40"/>
      <c r="EJ193" s="40"/>
      <c r="EK193" s="40"/>
      <c r="EL193" s="40"/>
      <c r="EM193" s="40"/>
      <c r="EN193" s="40"/>
      <c r="EO193" s="40"/>
      <c r="EP193" s="40"/>
      <c r="EQ193" s="40"/>
      <c r="ER193" s="40"/>
      <c r="ES193" s="40"/>
      <c r="ET193" s="40"/>
      <c r="EU193" s="40"/>
      <c r="EV193" s="40"/>
      <c r="EW193" s="40"/>
      <c r="EX193" s="40"/>
      <c r="EY193" s="40"/>
      <c r="EZ193" s="40"/>
      <c r="FA193" s="40"/>
      <c r="FB193" s="40"/>
      <c r="FC193" s="40"/>
      <c r="FD193" s="40"/>
      <c r="FE193" s="40"/>
      <c r="FF193" s="40"/>
      <c r="FG193" s="40"/>
      <c r="FH193" s="40"/>
      <c r="FI193" s="40"/>
      <c r="FJ193" s="40"/>
      <c r="FK193" s="40"/>
      <c r="FL193" s="40"/>
      <c r="FM193" s="40"/>
      <c r="FN193" s="40"/>
      <c r="FO193" s="40"/>
      <c r="FP193" s="40"/>
      <c r="FQ193" s="40"/>
      <c r="FR193" s="40"/>
      <c r="FS193" s="40"/>
      <c r="FT193" s="40"/>
      <c r="FU193" s="40"/>
      <c r="FV193" s="40"/>
    </row>
    <row r="194" spans="22:178" s="34" customFormat="1">
      <c r="V194" s="40"/>
      <c r="DK194" s="40"/>
      <c r="DL194" s="40"/>
      <c r="DM194" s="40"/>
      <c r="DN194" s="40"/>
      <c r="DO194" s="40"/>
      <c r="DP194" s="40"/>
      <c r="DQ194" s="40"/>
      <c r="DR194" s="40"/>
      <c r="DS194" s="40"/>
      <c r="DT194" s="40"/>
      <c r="DU194" s="40"/>
      <c r="DV194" s="40"/>
      <c r="DW194" s="40"/>
      <c r="DX194" s="40"/>
      <c r="DY194" s="40"/>
      <c r="DZ194" s="40"/>
      <c r="EA194" s="40"/>
      <c r="EB194" s="40"/>
      <c r="EC194" s="40"/>
      <c r="ED194" s="40"/>
      <c r="EE194" s="40"/>
      <c r="EF194" s="40"/>
      <c r="EG194" s="40"/>
      <c r="EH194" s="40"/>
      <c r="EI194" s="40"/>
      <c r="EJ194" s="40"/>
      <c r="EK194" s="40"/>
      <c r="EL194" s="40"/>
      <c r="EM194" s="40"/>
      <c r="EN194" s="40"/>
      <c r="EO194" s="40"/>
      <c r="EP194" s="40"/>
      <c r="EQ194" s="40"/>
      <c r="ER194" s="40"/>
      <c r="ES194" s="40"/>
      <c r="ET194" s="40"/>
      <c r="EU194" s="40"/>
      <c r="EV194" s="40"/>
      <c r="EW194" s="40"/>
      <c r="EX194" s="40"/>
      <c r="EY194" s="40"/>
      <c r="EZ194" s="40"/>
      <c r="FA194" s="40"/>
      <c r="FB194" s="40"/>
      <c r="FC194" s="40"/>
      <c r="FD194" s="40"/>
      <c r="FE194" s="40"/>
      <c r="FF194" s="40"/>
      <c r="FG194" s="40"/>
      <c r="FH194" s="40"/>
      <c r="FI194" s="40"/>
      <c r="FJ194" s="40"/>
      <c r="FK194" s="40"/>
      <c r="FL194" s="40"/>
      <c r="FM194" s="40"/>
      <c r="FN194" s="40"/>
      <c r="FO194" s="40"/>
      <c r="FP194" s="40"/>
      <c r="FQ194" s="40"/>
      <c r="FR194" s="40"/>
      <c r="FS194" s="40"/>
      <c r="FT194" s="40"/>
      <c r="FU194" s="40"/>
      <c r="FV194" s="40"/>
    </row>
    <row r="195" spans="22:178" s="34" customFormat="1">
      <c r="V195" s="40"/>
      <c r="DK195" s="40"/>
      <c r="DL195" s="40"/>
      <c r="DM195" s="40"/>
      <c r="DN195" s="40"/>
      <c r="DO195" s="40"/>
      <c r="DP195" s="40"/>
      <c r="DQ195" s="40"/>
      <c r="DR195" s="40"/>
      <c r="DS195" s="40"/>
      <c r="DT195" s="40"/>
      <c r="DU195" s="40"/>
      <c r="DV195" s="40"/>
      <c r="DW195" s="40"/>
      <c r="DX195" s="40"/>
      <c r="DY195" s="40"/>
      <c r="DZ195" s="40"/>
      <c r="EA195" s="40"/>
      <c r="EB195" s="40"/>
      <c r="EC195" s="40"/>
      <c r="ED195" s="40"/>
      <c r="EE195" s="40"/>
      <c r="EF195" s="40"/>
      <c r="EG195" s="40"/>
      <c r="EH195" s="40"/>
      <c r="EI195" s="40"/>
      <c r="EJ195" s="40"/>
      <c r="EK195" s="40"/>
      <c r="EL195" s="40"/>
      <c r="EM195" s="40"/>
      <c r="EN195" s="40"/>
      <c r="EO195" s="40"/>
      <c r="EP195" s="40"/>
      <c r="EQ195" s="40"/>
      <c r="ER195" s="40"/>
      <c r="ES195" s="40"/>
      <c r="ET195" s="40"/>
      <c r="EU195" s="40"/>
      <c r="EV195" s="40"/>
      <c r="EW195" s="40"/>
      <c r="EX195" s="40"/>
      <c r="EY195" s="40"/>
      <c r="EZ195" s="40"/>
      <c r="FA195" s="40"/>
      <c r="FB195" s="40"/>
      <c r="FC195" s="40"/>
      <c r="FD195" s="40"/>
      <c r="FE195" s="40"/>
      <c r="FF195" s="40"/>
      <c r="FG195" s="40"/>
      <c r="FH195" s="40"/>
      <c r="FI195" s="40"/>
      <c r="FJ195" s="40"/>
      <c r="FK195" s="40"/>
      <c r="FL195" s="40"/>
      <c r="FM195" s="40"/>
      <c r="FN195" s="40"/>
      <c r="FO195" s="40"/>
      <c r="FP195" s="40"/>
      <c r="FQ195" s="40"/>
      <c r="FR195" s="40"/>
      <c r="FS195" s="40"/>
      <c r="FT195" s="40"/>
      <c r="FU195" s="40"/>
      <c r="FV195" s="40"/>
    </row>
    <row r="196" spans="22:178" s="34" customFormat="1">
      <c r="V196" s="40"/>
      <c r="DK196" s="40"/>
      <c r="DL196" s="40"/>
      <c r="DM196" s="40"/>
      <c r="DN196" s="40"/>
      <c r="DO196" s="40"/>
      <c r="DP196" s="40"/>
      <c r="DQ196" s="40"/>
      <c r="DR196" s="40"/>
      <c r="DS196" s="40"/>
      <c r="DT196" s="40"/>
      <c r="DU196" s="40"/>
      <c r="DV196" s="40"/>
      <c r="DW196" s="40"/>
      <c r="DX196" s="40"/>
      <c r="DY196" s="40"/>
      <c r="DZ196" s="40"/>
      <c r="EA196" s="40"/>
      <c r="EB196" s="40"/>
      <c r="EC196" s="40"/>
      <c r="ED196" s="40"/>
      <c r="EE196" s="40"/>
      <c r="EF196" s="40"/>
      <c r="EG196" s="40"/>
      <c r="EH196" s="40"/>
      <c r="EI196" s="40"/>
      <c r="EJ196" s="40"/>
      <c r="EK196" s="40"/>
      <c r="EL196" s="40"/>
      <c r="EM196" s="40"/>
      <c r="EN196" s="40"/>
      <c r="EO196" s="40"/>
      <c r="EP196" s="40"/>
      <c r="EQ196" s="40"/>
      <c r="ER196" s="40"/>
      <c r="ES196" s="40"/>
      <c r="ET196" s="40"/>
      <c r="EU196" s="40"/>
      <c r="EV196" s="40"/>
      <c r="EW196" s="40"/>
      <c r="EX196" s="40"/>
      <c r="EY196" s="40"/>
      <c r="EZ196" s="40"/>
      <c r="FA196" s="40"/>
      <c r="FB196" s="40"/>
      <c r="FC196" s="40"/>
      <c r="FD196" s="40"/>
      <c r="FE196" s="40"/>
      <c r="FF196" s="40"/>
      <c r="FG196" s="40"/>
      <c r="FH196" s="40"/>
      <c r="FI196" s="40"/>
      <c r="FJ196" s="40"/>
      <c r="FK196" s="40"/>
      <c r="FL196" s="40"/>
      <c r="FM196" s="40"/>
      <c r="FN196" s="40"/>
      <c r="FO196" s="40"/>
      <c r="FP196" s="40"/>
      <c r="FQ196" s="40"/>
      <c r="FR196" s="40"/>
      <c r="FS196" s="40"/>
      <c r="FT196" s="40"/>
      <c r="FU196" s="40"/>
      <c r="FV196" s="40"/>
    </row>
    <row r="197" spans="22:178" s="34" customFormat="1">
      <c r="V197" s="40"/>
      <c r="DK197" s="40"/>
      <c r="DL197" s="40"/>
      <c r="DM197" s="40"/>
      <c r="DN197" s="40"/>
      <c r="DO197" s="40"/>
      <c r="DP197" s="40"/>
      <c r="DQ197" s="40"/>
      <c r="DR197" s="40"/>
      <c r="DS197" s="40"/>
      <c r="DT197" s="40"/>
      <c r="DU197" s="40"/>
      <c r="DV197" s="40"/>
      <c r="DW197" s="40"/>
      <c r="DX197" s="40"/>
      <c r="DY197" s="40"/>
      <c r="DZ197" s="40"/>
      <c r="EA197" s="40"/>
      <c r="EB197" s="40"/>
      <c r="EC197" s="40"/>
      <c r="ED197" s="40"/>
      <c r="EE197" s="40"/>
      <c r="EF197" s="40"/>
      <c r="EG197" s="40"/>
      <c r="EH197" s="40"/>
      <c r="EI197" s="40"/>
      <c r="EJ197" s="40"/>
      <c r="EK197" s="40"/>
      <c r="EL197" s="40"/>
      <c r="EM197" s="40"/>
      <c r="EN197" s="40"/>
      <c r="EO197" s="40"/>
      <c r="EP197" s="40"/>
      <c r="EQ197" s="40"/>
      <c r="ER197" s="40"/>
      <c r="ES197" s="40"/>
      <c r="ET197" s="40"/>
      <c r="EU197" s="40"/>
      <c r="EV197" s="40"/>
      <c r="EW197" s="40"/>
      <c r="EX197" s="40"/>
      <c r="EY197" s="40"/>
      <c r="EZ197" s="40"/>
      <c r="FA197" s="40"/>
      <c r="FB197" s="40"/>
      <c r="FC197" s="40"/>
      <c r="FD197" s="40"/>
      <c r="FE197" s="40"/>
      <c r="FF197" s="40"/>
      <c r="FG197" s="40"/>
      <c r="FH197" s="40"/>
      <c r="FI197" s="40"/>
      <c r="FJ197" s="40"/>
      <c r="FK197" s="40"/>
      <c r="FL197" s="40"/>
      <c r="FM197" s="40"/>
      <c r="FN197" s="40"/>
      <c r="FO197" s="40"/>
      <c r="FP197" s="40"/>
      <c r="FQ197" s="40"/>
      <c r="FR197" s="40"/>
      <c r="FS197" s="40"/>
      <c r="FT197" s="40"/>
      <c r="FU197" s="40"/>
      <c r="FV197" s="40"/>
    </row>
    <row r="198" spans="22:178" s="34" customFormat="1">
      <c r="V198" s="40"/>
      <c r="DK198" s="40"/>
      <c r="DL198" s="40"/>
      <c r="DM198" s="40"/>
      <c r="DN198" s="40"/>
      <c r="DO198" s="40"/>
      <c r="DP198" s="40"/>
      <c r="DQ198" s="40"/>
      <c r="DR198" s="40"/>
      <c r="DS198" s="40"/>
      <c r="DT198" s="40"/>
      <c r="DU198" s="40"/>
      <c r="DV198" s="40"/>
      <c r="DW198" s="40"/>
      <c r="DX198" s="40"/>
      <c r="DY198" s="40"/>
      <c r="DZ198" s="40"/>
      <c r="EA198" s="40"/>
      <c r="EB198" s="40"/>
      <c r="EC198" s="40"/>
      <c r="ED198" s="40"/>
      <c r="EE198" s="40"/>
      <c r="EF198" s="40"/>
      <c r="EG198" s="40"/>
      <c r="EH198" s="40"/>
      <c r="EI198" s="40"/>
      <c r="EJ198" s="40"/>
      <c r="EK198" s="40"/>
      <c r="EL198" s="40"/>
      <c r="EM198" s="40"/>
      <c r="EN198" s="40"/>
      <c r="EO198" s="40"/>
      <c r="EP198" s="40"/>
      <c r="EQ198" s="40"/>
      <c r="ER198" s="40"/>
      <c r="ES198" s="40"/>
      <c r="ET198" s="40"/>
      <c r="EU198" s="40"/>
      <c r="EV198" s="40"/>
      <c r="EW198" s="40"/>
      <c r="EX198" s="40"/>
      <c r="EY198" s="40"/>
      <c r="EZ198" s="40"/>
      <c r="FA198" s="40"/>
      <c r="FB198" s="40"/>
      <c r="FC198" s="40"/>
      <c r="FD198" s="40"/>
      <c r="FE198" s="40"/>
      <c r="FF198" s="40"/>
      <c r="FG198" s="40"/>
      <c r="FH198" s="40"/>
      <c r="FI198" s="40"/>
      <c r="FJ198" s="40"/>
      <c r="FK198" s="40"/>
      <c r="FL198" s="40"/>
      <c r="FM198" s="40"/>
      <c r="FN198" s="40"/>
      <c r="FO198" s="40"/>
      <c r="FP198" s="40"/>
      <c r="FQ198" s="40"/>
      <c r="FR198" s="40"/>
      <c r="FS198" s="40"/>
      <c r="FT198" s="40"/>
      <c r="FU198" s="40"/>
      <c r="FV198" s="40"/>
    </row>
    <row r="199" spans="22:178" s="34" customFormat="1">
      <c r="V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40"/>
      <c r="FB199" s="40"/>
      <c r="FC199" s="40"/>
      <c r="FD199" s="40"/>
      <c r="FE199" s="40"/>
      <c r="FF199" s="40"/>
      <c r="FG199" s="40"/>
      <c r="FH199" s="40"/>
      <c r="FI199" s="40"/>
      <c r="FJ199" s="40"/>
      <c r="FK199" s="40"/>
      <c r="FL199" s="40"/>
      <c r="FM199" s="40"/>
      <c r="FN199" s="40"/>
      <c r="FO199" s="40"/>
      <c r="FP199" s="40"/>
      <c r="FQ199" s="40"/>
      <c r="FR199" s="40"/>
      <c r="FS199" s="40"/>
      <c r="FT199" s="40"/>
      <c r="FU199" s="40"/>
      <c r="FV199" s="40"/>
    </row>
    <row r="200" spans="22:178" s="34" customFormat="1">
      <c r="V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40"/>
      <c r="FB200" s="40"/>
      <c r="FC200" s="40"/>
      <c r="FD200" s="40"/>
      <c r="FE200" s="40"/>
      <c r="FF200" s="40"/>
      <c r="FG200" s="40"/>
      <c r="FH200" s="40"/>
      <c r="FI200" s="40"/>
      <c r="FJ200" s="40"/>
      <c r="FK200" s="40"/>
      <c r="FL200" s="40"/>
      <c r="FM200" s="40"/>
      <c r="FN200" s="40"/>
      <c r="FO200" s="40"/>
      <c r="FP200" s="40"/>
      <c r="FQ200" s="40"/>
      <c r="FR200" s="40"/>
      <c r="FS200" s="40"/>
      <c r="FT200" s="40"/>
      <c r="FU200" s="40"/>
      <c r="FV200" s="40"/>
    </row>
    <row r="201" spans="22:178" s="34" customFormat="1">
      <c r="V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40"/>
      <c r="FB201" s="40"/>
      <c r="FC201" s="40"/>
      <c r="FD201" s="40"/>
      <c r="FE201" s="40"/>
      <c r="FF201" s="40"/>
      <c r="FG201" s="40"/>
      <c r="FH201" s="40"/>
      <c r="FI201" s="40"/>
      <c r="FJ201" s="40"/>
      <c r="FK201" s="40"/>
      <c r="FL201" s="40"/>
      <c r="FM201" s="40"/>
      <c r="FN201" s="40"/>
      <c r="FO201" s="40"/>
      <c r="FP201" s="40"/>
      <c r="FQ201" s="40"/>
      <c r="FR201" s="40"/>
      <c r="FS201" s="40"/>
      <c r="FT201" s="40"/>
      <c r="FU201" s="40"/>
      <c r="FV201" s="40"/>
    </row>
    <row r="202" spans="22:178" s="34" customFormat="1">
      <c r="V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40"/>
      <c r="FB202" s="40"/>
      <c r="FC202" s="40"/>
      <c r="FD202" s="40"/>
      <c r="FE202" s="40"/>
      <c r="FF202" s="40"/>
      <c r="FG202" s="40"/>
      <c r="FH202" s="40"/>
      <c r="FI202" s="40"/>
      <c r="FJ202" s="40"/>
      <c r="FK202" s="40"/>
      <c r="FL202" s="40"/>
      <c r="FM202" s="40"/>
      <c r="FN202" s="40"/>
      <c r="FO202" s="40"/>
      <c r="FP202" s="40"/>
      <c r="FQ202" s="40"/>
      <c r="FR202" s="40"/>
      <c r="FS202" s="40"/>
      <c r="FT202" s="40"/>
      <c r="FU202" s="40"/>
      <c r="FV202" s="40"/>
    </row>
    <row r="203" spans="22:178" s="34" customFormat="1">
      <c r="V203" s="40"/>
      <c r="DK203" s="40"/>
      <c r="DL203" s="40"/>
      <c r="DM203" s="40"/>
      <c r="DN203" s="40"/>
      <c r="DO203" s="40"/>
      <c r="DP203" s="40"/>
      <c r="DQ203" s="40"/>
      <c r="DR203" s="40"/>
      <c r="DS203" s="40"/>
      <c r="DT203" s="40"/>
      <c r="DU203" s="40"/>
      <c r="DV203" s="40"/>
      <c r="DW203" s="40"/>
      <c r="DX203" s="40"/>
      <c r="DY203" s="40"/>
      <c r="DZ203" s="40"/>
      <c r="EA203" s="40"/>
      <c r="EB203" s="40"/>
      <c r="EC203" s="40"/>
      <c r="ED203" s="40"/>
      <c r="EE203" s="40"/>
      <c r="EF203" s="40"/>
      <c r="EG203" s="40"/>
      <c r="EH203" s="40"/>
      <c r="EI203" s="40"/>
      <c r="EJ203" s="40"/>
      <c r="EK203" s="40"/>
      <c r="EL203" s="40"/>
      <c r="EM203" s="40"/>
      <c r="EN203" s="40"/>
      <c r="EO203" s="40"/>
      <c r="EP203" s="40"/>
      <c r="EQ203" s="40"/>
      <c r="ER203" s="40"/>
      <c r="ES203" s="40"/>
      <c r="ET203" s="40"/>
      <c r="EU203" s="40"/>
      <c r="EV203" s="40"/>
      <c r="EW203" s="40"/>
      <c r="EX203" s="40"/>
      <c r="EY203" s="40"/>
      <c r="EZ203" s="40"/>
      <c r="FA203" s="40"/>
      <c r="FB203" s="40"/>
      <c r="FC203" s="40"/>
      <c r="FD203" s="40"/>
      <c r="FE203" s="40"/>
      <c r="FF203" s="40"/>
      <c r="FG203" s="40"/>
      <c r="FH203" s="40"/>
      <c r="FI203" s="40"/>
      <c r="FJ203" s="40"/>
      <c r="FK203" s="40"/>
      <c r="FL203" s="40"/>
      <c r="FM203" s="40"/>
      <c r="FN203" s="40"/>
      <c r="FO203" s="40"/>
      <c r="FP203" s="40"/>
      <c r="FQ203" s="40"/>
      <c r="FR203" s="40"/>
      <c r="FS203" s="40"/>
      <c r="FT203" s="40"/>
      <c r="FU203" s="40"/>
      <c r="FV203" s="40"/>
    </row>
    <row r="204" spans="22:178" s="34" customFormat="1">
      <c r="V204" s="40"/>
      <c r="DK204" s="40"/>
      <c r="DL204" s="40"/>
      <c r="DM204" s="40"/>
      <c r="DN204" s="40"/>
      <c r="DO204" s="40"/>
      <c r="DP204" s="40"/>
      <c r="DQ204" s="40"/>
      <c r="DR204" s="40"/>
      <c r="DS204" s="40"/>
      <c r="DT204" s="40"/>
      <c r="DU204" s="40"/>
      <c r="DV204" s="40"/>
      <c r="DW204" s="40"/>
      <c r="DX204" s="40"/>
      <c r="DY204" s="40"/>
      <c r="DZ204" s="40"/>
      <c r="EA204" s="40"/>
      <c r="EB204" s="40"/>
      <c r="EC204" s="40"/>
      <c r="ED204" s="40"/>
      <c r="EE204" s="40"/>
      <c r="EF204" s="40"/>
      <c r="EG204" s="40"/>
      <c r="EH204" s="40"/>
      <c r="EI204" s="40"/>
      <c r="EJ204" s="40"/>
      <c r="EK204" s="40"/>
      <c r="EL204" s="40"/>
      <c r="EM204" s="40"/>
      <c r="EN204" s="40"/>
      <c r="EO204" s="40"/>
      <c r="EP204" s="40"/>
      <c r="EQ204" s="40"/>
      <c r="ER204" s="40"/>
      <c r="ES204" s="40"/>
      <c r="ET204" s="40"/>
      <c r="EU204" s="40"/>
      <c r="EV204" s="40"/>
      <c r="EW204" s="40"/>
      <c r="EX204" s="40"/>
      <c r="EY204" s="40"/>
      <c r="EZ204" s="40"/>
      <c r="FA204" s="40"/>
      <c r="FB204" s="40"/>
      <c r="FC204" s="40"/>
      <c r="FD204" s="40"/>
      <c r="FE204" s="40"/>
      <c r="FF204" s="40"/>
      <c r="FG204" s="40"/>
      <c r="FH204" s="40"/>
      <c r="FI204" s="40"/>
      <c r="FJ204" s="40"/>
      <c r="FK204" s="40"/>
      <c r="FL204" s="40"/>
      <c r="FM204" s="40"/>
      <c r="FN204" s="40"/>
      <c r="FO204" s="40"/>
      <c r="FP204" s="40"/>
      <c r="FQ204" s="40"/>
      <c r="FR204" s="40"/>
      <c r="FS204" s="40"/>
      <c r="FT204" s="40"/>
      <c r="FU204" s="40"/>
      <c r="FV204" s="40"/>
    </row>
    <row r="205" spans="22:178" s="34" customFormat="1">
      <c r="V205" s="40"/>
      <c r="DK205" s="40"/>
      <c r="DL205" s="40"/>
      <c r="DM205" s="40"/>
      <c r="DN205" s="40"/>
      <c r="DO205" s="40"/>
      <c r="DP205" s="40"/>
      <c r="DQ205" s="40"/>
      <c r="DR205" s="40"/>
      <c r="DS205" s="40"/>
      <c r="DT205" s="40"/>
      <c r="DU205" s="40"/>
      <c r="DV205" s="40"/>
      <c r="DW205" s="40"/>
      <c r="DX205" s="40"/>
      <c r="DY205" s="40"/>
      <c r="DZ205" s="40"/>
      <c r="EA205" s="40"/>
      <c r="EB205" s="40"/>
      <c r="EC205" s="40"/>
      <c r="ED205" s="40"/>
      <c r="EE205" s="40"/>
      <c r="EF205" s="40"/>
      <c r="EG205" s="40"/>
      <c r="EH205" s="40"/>
      <c r="EI205" s="40"/>
      <c r="EJ205" s="40"/>
      <c r="EK205" s="40"/>
      <c r="EL205" s="40"/>
      <c r="EM205" s="40"/>
      <c r="EN205" s="40"/>
      <c r="EO205" s="40"/>
      <c r="EP205" s="40"/>
      <c r="EQ205" s="40"/>
      <c r="ER205" s="40"/>
      <c r="ES205" s="40"/>
      <c r="ET205" s="40"/>
      <c r="EU205" s="40"/>
      <c r="EV205" s="40"/>
      <c r="EW205" s="40"/>
      <c r="EX205" s="40"/>
      <c r="EY205" s="40"/>
      <c r="EZ205" s="40"/>
      <c r="FA205" s="40"/>
      <c r="FB205" s="40"/>
      <c r="FC205" s="40"/>
      <c r="FD205" s="40"/>
      <c r="FE205" s="40"/>
      <c r="FF205" s="40"/>
      <c r="FG205" s="40"/>
      <c r="FH205" s="40"/>
      <c r="FI205" s="40"/>
      <c r="FJ205" s="40"/>
      <c r="FK205" s="40"/>
      <c r="FL205" s="40"/>
      <c r="FM205" s="40"/>
      <c r="FN205" s="40"/>
      <c r="FO205" s="40"/>
      <c r="FP205" s="40"/>
      <c r="FQ205" s="40"/>
      <c r="FR205" s="40"/>
      <c r="FS205" s="40"/>
      <c r="FT205" s="40"/>
      <c r="FU205" s="40"/>
      <c r="FV205" s="40"/>
    </row>
    <row r="206" spans="22:178" s="34" customFormat="1">
      <c r="V206" s="40"/>
      <c r="DK206" s="40"/>
      <c r="DL206" s="40"/>
      <c r="DM206" s="40"/>
      <c r="DN206" s="40"/>
      <c r="DO206" s="40"/>
      <c r="DP206" s="40"/>
      <c r="DQ206" s="40"/>
      <c r="DR206" s="40"/>
      <c r="DS206" s="40"/>
      <c r="DT206" s="40"/>
      <c r="DU206" s="40"/>
      <c r="DV206" s="40"/>
      <c r="DW206" s="40"/>
      <c r="DX206" s="40"/>
      <c r="DY206" s="40"/>
      <c r="DZ206" s="40"/>
      <c r="EA206" s="40"/>
      <c r="EB206" s="40"/>
      <c r="EC206" s="40"/>
      <c r="ED206" s="40"/>
      <c r="EE206" s="40"/>
      <c r="EF206" s="40"/>
      <c r="EG206" s="40"/>
      <c r="EH206" s="40"/>
      <c r="EI206" s="40"/>
      <c r="EJ206" s="40"/>
      <c r="EK206" s="40"/>
      <c r="EL206" s="40"/>
      <c r="EM206" s="40"/>
      <c r="EN206" s="40"/>
      <c r="EO206" s="40"/>
      <c r="EP206" s="40"/>
      <c r="EQ206" s="40"/>
      <c r="ER206" s="40"/>
      <c r="ES206" s="40"/>
      <c r="ET206" s="40"/>
      <c r="EU206" s="40"/>
      <c r="EV206" s="40"/>
      <c r="EW206" s="40"/>
      <c r="EX206" s="40"/>
      <c r="EY206" s="40"/>
      <c r="EZ206" s="40"/>
      <c r="FA206" s="40"/>
      <c r="FB206" s="40"/>
      <c r="FC206" s="40"/>
      <c r="FD206" s="40"/>
      <c r="FE206" s="40"/>
      <c r="FF206" s="40"/>
      <c r="FG206" s="40"/>
      <c r="FH206" s="40"/>
      <c r="FI206" s="40"/>
      <c r="FJ206" s="40"/>
      <c r="FK206" s="40"/>
      <c r="FL206" s="40"/>
      <c r="FM206" s="40"/>
      <c r="FN206" s="40"/>
      <c r="FO206" s="40"/>
      <c r="FP206" s="40"/>
      <c r="FQ206" s="40"/>
      <c r="FR206" s="40"/>
      <c r="FS206" s="40"/>
      <c r="FT206" s="40"/>
      <c r="FU206" s="40"/>
      <c r="FV206" s="40"/>
    </row>
    <row r="207" spans="22:178" s="34" customFormat="1">
      <c r="V207" s="40"/>
      <c r="DK207" s="40"/>
      <c r="DL207" s="40"/>
      <c r="DM207" s="40"/>
      <c r="DN207" s="40"/>
      <c r="DO207" s="40"/>
      <c r="DP207" s="40"/>
      <c r="DQ207" s="40"/>
      <c r="DR207" s="40"/>
      <c r="DS207" s="40"/>
      <c r="DT207" s="40"/>
      <c r="DU207" s="40"/>
      <c r="DV207" s="40"/>
      <c r="DW207" s="40"/>
      <c r="DX207" s="40"/>
      <c r="DY207" s="40"/>
      <c r="DZ207" s="40"/>
      <c r="EA207" s="40"/>
      <c r="EB207" s="40"/>
      <c r="EC207" s="40"/>
      <c r="ED207" s="40"/>
      <c r="EE207" s="40"/>
      <c r="EF207" s="40"/>
      <c r="EG207" s="40"/>
      <c r="EH207" s="40"/>
      <c r="EI207" s="40"/>
      <c r="EJ207" s="40"/>
      <c r="EK207" s="40"/>
      <c r="EL207" s="40"/>
      <c r="EM207" s="40"/>
      <c r="EN207" s="40"/>
      <c r="EO207" s="40"/>
      <c r="EP207" s="40"/>
      <c r="EQ207" s="40"/>
      <c r="ER207" s="40"/>
      <c r="ES207" s="40"/>
      <c r="ET207" s="40"/>
      <c r="EU207" s="40"/>
      <c r="EV207" s="40"/>
      <c r="EW207" s="40"/>
      <c r="EX207" s="40"/>
      <c r="EY207" s="40"/>
      <c r="EZ207" s="40"/>
      <c r="FA207" s="40"/>
      <c r="FB207" s="40"/>
      <c r="FC207" s="40"/>
      <c r="FD207" s="40"/>
      <c r="FE207" s="40"/>
      <c r="FF207" s="40"/>
      <c r="FG207" s="40"/>
      <c r="FH207" s="40"/>
      <c r="FI207" s="40"/>
      <c r="FJ207" s="40"/>
      <c r="FK207" s="40"/>
      <c r="FL207" s="40"/>
      <c r="FM207" s="40"/>
      <c r="FN207" s="40"/>
      <c r="FO207" s="40"/>
      <c r="FP207" s="40"/>
      <c r="FQ207" s="40"/>
      <c r="FR207" s="40"/>
      <c r="FS207" s="40"/>
      <c r="FT207" s="40"/>
      <c r="FU207" s="40"/>
      <c r="FV207" s="40"/>
    </row>
    <row r="208" spans="22:178" s="34" customFormat="1">
      <c r="V208" s="40"/>
      <c r="DK208" s="40"/>
      <c r="DL208" s="40"/>
      <c r="DM208" s="40"/>
      <c r="DN208" s="40"/>
      <c r="DO208" s="40"/>
      <c r="DP208" s="40"/>
      <c r="DQ208" s="40"/>
      <c r="DR208" s="40"/>
      <c r="DS208" s="40"/>
      <c r="DT208" s="40"/>
      <c r="DU208" s="40"/>
      <c r="DV208" s="40"/>
      <c r="DW208" s="40"/>
      <c r="DX208" s="40"/>
      <c r="DY208" s="40"/>
      <c r="DZ208" s="40"/>
      <c r="EA208" s="40"/>
      <c r="EB208" s="40"/>
      <c r="EC208" s="40"/>
      <c r="ED208" s="40"/>
      <c r="EE208" s="40"/>
      <c r="EF208" s="40"/>
      <c r="EG208" s="40"/>
      <c r="EH208" s="40"/>
      <c r="EI208" s="40"/>
      <c r="EJ208" s="40"/>
      <c r="EK208" s="40"/>
      <c r="EL208" s="40"/>
      <c r="EM208" s="40"/>
      <c r="EN208" s="40"/>
      <c r="EO208" s="40"/>
      <c r="EP208" s="40"/>
      <c r="EQ208" s="40"/>
      <c r="ER208" s="40"/>
      <c r="ES208" s="40"/>
      <c r="ET208" s="40"/>
      <c r="EU208" s="40"/>
      <c r="EV208" s="40"/>
      <c r="EW208" s="40"/>
      <c r="EX208" s="40"/>
      <c r="EY208" s="40"/>
      <c r="EZ208" s="40"/>
      <c r="FA208" s="40"/>
      <c r="FB208" s="40"/>
      <c r="FC208" s="40"/>
      <c r="FD208" s="40"/>
      <c r="FE208" s="40"/>
      <c r="FF208" s="40"/>
      <c r="FG208" s="40"/>
      <c r="FH208" s="40"/>
      <c r="FI208" s="40"/>
      <c r="FJ208" s="40"/>
      <c r="FK208" s="40"/>
      <c r="FL208" s="40"/>
      <c r="FM208" s="40"/>
      <c r="FN208" s="40"/>
      <c r="FO208" s="40"/>
      <c r="FP208" s="40"/>
      <c r="FQ208" s="40"/>
      <c r="FR208" s="40"/>
      <c r="FS208" s="40"/>
      <c r="FT208" s="40"/>
      <c r="FU208" s="40"/>
      <c r="FV208" s="40"/>
    </row>
    <row r="209" spans="22:178" s="34" customFormat="1">
      <c r="V209" s="40"/>
      <c r="DK209" s="40"/>
      <c r="DL209" s="40"/>
      <c r="DM209" s="40"/>
      <c r="DN209" s="40"/>
      <c r="DO209" s="40"/>
      <c r="DP209" s="40"/>
      <c r="DQ209" s="40"/>
      <c r="DR209" s="40"/>
      <c r="DS209" s="40"/>
      <c r="DT209" s="40"/>
      <c r="DU209" s="40"/>
      <c r="DV209" s="40"/>
      <c r="DW209" s="40"/>
      <c r="DX209" s="40"/>
      <c r="DY209" s="40"/>
      <c r="DZ209" s="40"/>
      <c r="EA209" s="40"/>
      <c r="EB209" s="40"/>
      <c r="EC209" s="40"/>
      <c r="ED209" s="40"/>
      <c r="EE209" s="40"/>
      <c r="EF209" s="40"/>
      <c r="EG209" s="40"/>
      <c r="EH209" s="40"/>
      <c r="EI209" s="40"/>
      <c r="EJ209" s="40"/>
      <c r="EK209" s="40"/>
      <c r="EL209" s="40"/>
      <c r="EM209" s="40"/>
      <c r="EN209" s="40"/>
      <c r="EO209" s="40"/>
      <c r="EP209" s="40"/>
      <c r="EQ209" s="40"/>
      <c r="ER209" s="40"/>
      <c r="ES209" s="40"/>
      <c r="ET209" s="40"/>
      <c r="EU209" s="40"/>
      <c r="EV209" s="40"/>
      <c r="EW209" s="40"/>
      <c r="EX209" s="40"/>
      <c r="EY209" s="40"/>
      <c r="EZ209" s="40"/>
      <c r="FA209" s="40"/>
      <c r="FB209" s="40"/>
      <c r="FC209" s="40"/>
      <c r="FD209" s="40"/>
      <c r="FE209" s="40"/>
      <c r="FF209" s="40"/>
      <c r="FG209" s="40"/>
      <c r="FH209" s="40"/>
      <c r="FI209" s="40"/>
      <c r="FJ209" s="40"/>
      <c r="FK209" s="40"/>
      <c r="FL209" s="40"/>
      <c r="FM209" s="40"/>
      <c r="FN209" s="40"/>
      <c r="FO209" s="40"/>
      <c r="FP209" s="40"/>
      <c r="FQ209" s="40"/>
      <c r="FR209" s="40"/>
      <c r="FS209" s="40"/>
      <c r="FT209" s="40"/>
      <c r="FU209" s="40"/>
      <c r="FV209" s="40"/>
    </row>
    <row r="210" spans="22:178" s="34" customFormat="1">
      <c r="V210" s="40"/>
      <c r="DK210" s="40"/>
      <c r="DL210" s="40"/>
      <c r="DM210" s="40"/>
      <c r="DN210" s="40"/>
      <c r="DO210" s="40"/>
      <c r="DP210" s="40"/>
      <c r="DQ210" s="40"/>
      <c r="DR210" s="40"/>
      <c r="DS210" s="40"/>
      <c r="DT210" s="40"/>
      <c r="DU210" s="40"/>
      <c r="DV210" s="40"/>
      <c r="DW210" s="40"/>
      <c r="DX210" s="40"/>
      <c r="DY210" s="40"/>
      <c r="DZ210" s="40"/>
      <c r="EA210" s="40"/>
      <c r="EB210" s="40"/>
      <c r="EC210" s="40"/>
      <c r="ED210" s="40"/>
      <c r="EE210" s="40"/>
      <c r="EF210" s="40"/>
      <c r="EG210" s="40"/>
      <c r="EH210" s="40"/>
      <c r="EI210" s="40"/>
      <c r="EJ210" s="40"/>
      <c r="EK210" s="40"/>
      <c r="EL210" s="40"/>
      <c r="EM210" s="40"/>
      <c r="EN210" s="40"/>
      <c r="EO210" s="40"/>
      <c r="EP210" s="40"/>
      <c r="EQ210" s="40"/>
      <c r="ER210" s="40"/>
      <c r="ES210" s="40"/>
      <c r="ET210" s="40"/>
      <c r="EU210" s="40"/>
      <c r="EV210" s="40"/>
      <c r="EW210" s="40"/>
      <c r="EX210" s="40"/>
      <c r="EY210" s="40"/>
      <c r="EZ210" s="40"/>
      <c r="FA210" s="40"/>
      <c r="FB210" s="40"/>
      <c r="FC210" s="40"/>
      <c r="FD210" s="40"/>
      <c r="FE210" s="40"/>
      <c r="FF210" s="40"/>
      <c r="FG210" s="40"/>
      <c r="FH210" s="40"/>
      <c r="FI210" s="40"/>
      <c r="FJ210" s="40"/>
      <c r="FK210" s="40"/>
      <c r="FL210" s="40"/>
      <c r="FM210" s="40"/>
      <c r="FN210" s="40"/>
      <c r="FO210" s="40"/>
      <c r="FP210" s="40"/>
      <c r="FQ210" s="40"/>
      <c r="FR210" s="40"/>
      <c r="FS210" s="40"/>
      <c r="FT210" s="40"/>
      <c r="FU210" s="40"/>
      <c r="FV210" s="40"/>
    </row>
    <row r="211" spans="22:178" s="34" customFormat="1">
      <c r="V211" s="40"/>
      <c r="DK211" s="40"/>
      <c r="DL211" s="40"/>
      <c r="DM211" s="40"/>
      <c r="DN211" s="40"/>
      <c r="DO211" s="40"/>
      <c r="DP211" s="40"/>
      <c r="DQ211" s="40"/>
      <c r="DR211" s="40"/>
      <c r="DS211" s="40"/>
      <c r="DT211" s="40"/>
      <c r="DU211" s="40"/>
      <c r="DV211" s="40"/>
      <c r="DW211" s="40"/>
      <c r="DX211" s="40"/>
      <c r="DY211" s="40"/>
      <c r="DZ211" s="40"/>
      <c r="EA211" s="40"/>
      <c r="EB211" s="40"/>
      <c r="EC211" s="40"/>
      <c r="ED211" s="40"/>
      <c r="EE211" s="40"/>
      <c r="EF211" s="40"/>
      <c r="EG211" s="40"/>
      <c r="EH211" s="40"/>
      <c r="EI211" s="40"/>
      <c r="EJ211" s="40"/>
      <c r="EK211" s="40"/>
      <c r="EL211" s="40"/>
      <c r="EM211" s="40"/>
      <c r="EN211" s="40"/>
      <c r="EO211" s="40"/>
      <c r="EP211" s="40"/>
      <c r="EQ211" s="40"/>
      <c r="ER211" s="40"/>
      <c r="ES211" s="40"/>
      <c r="ET211" s="40"/>
      <c r="EU211" s="40"/>
      <c r="EV211" s="40"/>
      <c r="EW211" s="40"/>
      <c r="EX211" s="40"/>
      <c r="EY211" s="40"/>
      <c r="EZ211" s="40"/>
      <c r="FA211" s="40"/>
      <c r="FB211" s="40"/>
      <c r="FC211" s="40"/>
      <c r="FD211" s="40"/>
      <c r="FE211" s="40"/>
      <c r="FF211" s="40"/>
      <c r="FG211" s="40"/>
      <c r="FH211" s="40"/>
      <c r="FI211" s="40"/>
      <c r="FJ211" s="40"/>
      <c r="FK211" s="40"/>
      <c r="FL211" s="40"/>
      <c r="FM211" s="40"/>
      <c r="FN211" s="40"/>
      <c r="FO211" s="40"/>
      <c r="FP211" s="40"/>
      <c r="FQ211" s="40"/>
      <c r="FR211" s="40"/>
      <c r="FS211" s="40"/>
      <c r="FT211" s="40"/>
      <c r="FU211" s="40"/>
      <c r="FV211" s="40"/>
    </row>
    <row r="212" spans="22:178" s="34" customFormat="1">
      <c r="V212" s="40"/>
      <c r="DK212" s="40"/>
      <c r="DL212" s="40"/>
      <c r="DM212" s="40"/>
      <c r="DN212" s="40"/>
      <c r="DO212" s="40"/>
      <c r="DP212" s="40"/>
      <c r="DQ212" s="40"/>
      <c r="DR212" s="40"/>
      <c r="DS212" s="40"/>
      <c r="DT212" s="40"/>
      <c r="DU212" s="40"/>
      <c r="DV212" s="40"/>
      <c r="DW212" s="40"/>
      <c r="DX212" s="40"/>
      <c r="DY212" s="40"/>
      <c r="DZ212" s="40"/>
      <c r="EA212" s="40"/>
      <c r="EB212" s="40"/>
      <c r="EC212" s="40"/>
      <c r="ED212" s="40"/>
      <c r="EE212" s="40"/>
      <c r="EF212" s="40"/>
      <c r="EG212" s="40"/>
      <c r="EH212" s="40"/>
      <c r="EI212" s="40"/>
      <c r="EJ212" s="40"/>
      <c r="EK212" s="40"/>
      <c r="EL212" s="40"/>
      <c r="EM212" s="40"/>
      <c r="EN212" s="40"/>
      <c r="EO212" s="40"/>
      <c r="EP212" s="40"/>
      <c r="EQ212" s="40"/>
      <c r="ER212" s="40"/>
      <c r="ES212" s="40"/>
      <c r="ET212" s="40"/>
      <c r="EU212" s="40"/>
      <c r="EV212" s="40"/>
      <c r="EW212" s="40"/>
      <c r="EX212" s="40"/>
      <c r="EY212" s="40"/>
      <c r="EZ212" s="40"/>
      <c r="FA212" s="40"/>
      <c r="FB212" s="40"/>
      <c r="FC212" s="40"/>
      <c r="FD212" s="40"/>
      <c r="FE212" s="40"/>
      <c r="FF212" s="40"/>
      <c r="FG212" s="40"/>
      <c r="FH212" s="40"/>
      <c r="FI212" s="40"/>
      <c r="FJ212" s="40"/>
      <c r="FK212" s="40"/>
      <c r="FL212" s="40"/>
      <c r="FM212" s="40"/>
      <c r="FN212" s="40"/>
      <c r="FO212" s="40"/>
      <c r="FP212" s="40"/>
      <c r="FQ212" s="40"/>
      <c r="FR212" s="40"/>
      <c r="FS212" s="40"/>
      <c r="FT212" s="40"/>
      <c r="FU212" s="40"/>
      <c r="FV212" s="40"/>
    </row>
    <row r="213" spans="22:178" s="34" customFormat="1">
      <c r="V213" s="40"/>
      <c r="DK213" s="40"/>
      <c r="DL213" s="40"/>
      <c r="DM213" s="40"/>
      <c r="DN213" s="40"/>
      <c r="DO213" s="40"/>
      <c r="DP213" s="40"/>
      <c r="DQ213" s="40"/>
      <c r="DR213" s="40"/>
      <c r="DS213" s="40"/>
      <c r="DT213" s="40"/>
      <c r="DU213" s="40"/>
      <c r="DV213" s="40"/>
      <c r="DW213" s="40"/>
      <c r="DX213" s="40"/>
      <c r="DY213" s="40"/>
      <c r="DZ213" s="40"/>
      <c r="EA213" s="40"/>
      <c r="EB213" s="40"/>
      <c r="EC213" s="40"/>
      <c r="ED213" s="40"/>
      <c r="EE213" s="40"/>
      <c r="EF213" s="40"/>
      <c r="EG213" s="40"/>
      <c r="EH213" s="40"/>
      <c r="EI213" s="40"/>
      <c r="EJ213" s="40"/>
      <c r="EK213" s="40"/>
      <c r="EL213" s="40"/>
      <c r="EM213" s="40"/>
      <c r="EN213" s="40"/>
      <c r="EO213" s="40"/>
      <c r="EP213" s="40"/>
      <c r="EQ213" s="40"/>
      <c r="ER213" s="40"/>
      <c r="ES213" s="40"/>
      <c r="ET213" s="40"/>
      <c r="EU213" s="40"/>
      <c r="EV213" s="40"/>
      <c r="EW213" s="40"/>
      <c r="EX213" s="40"/>
      <c r="EY213" s="40"/>
      <c r="EZ213" s="40"/>
      <c r="FA213" s="40"/>
      <c r="FB213" s="40"/>
      <c r="FC213" s="40"/>
      <c r="FD213" s="40"/>
      <c r="FE213" s="40"/>
      <c r="FF213" s="40"/>
      <c r="FG213" s="40"/>
      <c r="FH213" s="40"/>
      <c r="FI213" s="40"/>
      <c r="FJ213" s="40"/>
      <c r="FK213" s="40"/>
      <c r="FL213" s="40"/>
      <c r="FM213" s="40"/>
      <c r="FN213" s="40"/>
      <c r="FO213" s="40"/>
      <c r="FP213" s="40"/>
      <c r="FQ213" s="40"/>
      <c r="FR213" s="40"/>
      <c r="FS213" s="40"/>
      <c r="FT213" s="40"/>
      <c r="FU213" s="40"/>
      <c r="FV213" s="40"/>
    </row>
    <row r="214" spans="22:178" s="34" customFormat="1">
      <c r="V214" s="40"/>
      <c r="DK214" s="40"/>
      <c r="DL214" s="40"/>
      <c r="DM214" s="40"/>
      <c r="DN214" s="40"/>
      <c r="DO214" s="40"/>
      <c r="DP214" s="40"/>
      <c r="DQ214" s="40"/>
      <c r="DR214" s="40"/>
      <c r="DS214" s="40"/>
      <c r="DT214" s="40"/>
      <c r="DU214" s="40"/>
      <c r="DV214" s="40"/>
      <c r="DW214" s="40"/>
      <c r="DX214" s="40"/>
      <c r="DY214" s="40"/>
      <c r="DZ214" s="40"/>
      <c r="EA214" s="40"/>
      <c r="EB214" s="40"/>
      <c r="EC214" s="40"/>
      <c r="ED214" s="40"/>
      <c r="EE214" s="40"/>
      <c r="EF214" s="40"/>
      <c r="EG214" s="40"/>
      <c r="EH214" s="40"/>
      <c r="EI214" s="40"/>
      <c r="EJ214" s="40"/>
      <c r="EK214" s="40"/>
      <c r="EL214" s="40"/>
      <c r="EM214" s="40"/>
      <c r="EN214" s="40"/>
      <c r="EO214" s="40"/>
      <c r="EP214" s="40"/>
      <c r="EQ214" s="40"/>
      <c r="ER214" s="40"/>
      <c r="ES214" s="40"/>
      <c r="ET214" s="40"/>
      <c r="EU214" s="40"/>
      <c r="EV214" s="40"/>
      <c r="EW214" s="40"/>
      <c r="EX214" s="40"/>
      <c r="EY214" s="40"/>
      <c r="EZ214" s="40"/>
      <c r="FA214" s="40"/>
      <c r="FB214" s="40"/>
      <c r="FC214" s="40"/>
      <c r="FD214" s="40"/>
      <c r="FE214" s="40"/>
      <c r="FF214" s="40"/>
      <c r="FG214" s="40"/>
      <c r="FH214" s="40"/>
      <c r="FI214" s="40"/>
      <c r="FJ214" s="40"/>
      <c r="FK214" s="40"/>
      <c r="FL214" s="40"/>
      <c r="FM214" s="40"/>
      <c r="FN214" s="40"/>
      <c r="FO214" s="40"/>
      <c r="FP214" s="40"/>
      <c r="FQ214" s="40"/>
      <c r="FR214" s="40"/>
      <c r="FS214" s="40"/>
      <c r="FT214" s="40"/>
      <c r="FU214" s="40"/>
      <c r="FV214" s="40"/>
    </row>
    <row r="215" spans="22:178" s="34" customFormat="1">
      <c r="V215" s="40"/>
      <c r="DK215" s="40"/>
      <c r="DL215" s="40"/>
      <c r="DM215" s="40"/>
      <c r="DN215" s="40"/>
      <c r="DO215" s="40"/>
      <c r="DP215" s="40"/>
      <c r="DQ215" s="40"/>
      <c r="DR215" s="40"/>
      <c r="DS215" s="40"/>
      <c r="DT215" s="40"/>
      <c r="DU215" s="40"/>
      <c r="DV215" s="40"/>
      <c r="DW215" s="40"/>
      <c r="DX215" s="40"/>
      <c r="DY215" s="40"/>
      <c r="DZ215" s="40"/>
      <c r="EA215" s="40"/>
      <c r="EB215" s="40"/>
      <c r="EC215" s="40"/>
      <c r="ED215" s="40"/>
      <c r="EE215" s="40"/>
      <c r="EF215" s="40"/>
      <c r="EG215" s="40"/>
      <c r="EH215" s="40"/>
      <c r="EI215" s="40"/>
      <c r="EJ215" s="40"/>
      <c r="EK215" s="40"/>
      <c r="EL215" s="40"/>
      <c r="EM215" s="40"/>
      <c r="EN215" s="40"/>
      <c r="EO215" s="40"/>
      <c r="EP215" s="40"/>
      <c r="EQ215" s="40"/>
      <c r="ER215" s="40"/>
      <c r="ES215" s="40"/>
      <c r="ET215" s="40"/>
      <c r="EU215" s="40"/>
      <c r="EV215" s="40"/>
      <c r="EW215" s="40"/>
      <c r="EX215" s="40"/>
      <c r="EY215" s="40"/>
      <c r="EZ215" s="40"/>
      <c r="FA215" s="40"/>
      <c r="FB215" s="40"/>
      <c r="FC215" s="40"/>
      <c r="FD215" s="40"/>
      <c r="FE215" s="40"/>
      <c r="FF215" s="40"/>
      <c r="FG215" s="40"/>
      <c r="FH215" s="40"/>
      <c r="FI215" s="40"/>
      <c r="FJ215" s="40"/>
      <c r="FK215" s="40"/>
      <c r="FL215" s="40"/>
      <c r="FM215" s="40"/>
      <c r="FN215" s="40"/>
      <c r="FO215" s="40"/>
      <c r="FP215" s="40"/>
      <c r="FQ215" s="40"/>
      <c r="FR215" s="40"/>
      <c r="FS215" s="40"/>
      <c r="FT215" s="40"/>
      <c r="FU215" s="40"/>
      <c r="FV215" s="40"/>
    </row>
    <row r="216" spans="22:178" s="34" customFormat="1">
      <c r="V216" s="40"/>
      <c r="DK216" s="40"/>
      <c r="DL216" s="40"/>
      <c r="DM216" s="40"/>
      <c r="DN216" s="40"/>
      <c r="DO216" s="40"/>
      <c r="DP216" s="40"/>
      <c r="DQ216" s="40"/>
      <c r="DR216" s="40"/>
      <c r="DS216" s="40"/>
      <c r="DT216" s="40"/>
      <c r="DU216" s="40"/>
      <c r="DV216" s="40"/>
      <c r="DW216" s="40"/>
      <c r="DX216" s="40"/>
      <c r="DY216" s="40"/>
      <c r="DZ216" s="40"/>
      <c r="EA216" s="40"/>
      <c r="EB216" s="40"/>
      <c r="EC216" s="40"/>
      <c r="ED216" s="40"/>
      <c r="EE216" s="40"/>
      <c r="EF216" s="40"/>
      <c r="EG216" s="40"/>
      <c r="EH216" s="40"/>
      <c r="EI216" s="40"/>
      <c r="EJ216" s="40"/>
      <c r="EK216" s="40"/>
      <c r="EL216" s="40"/>
      <c r="EM216" s="40"/>
      <c r="EN216" s="40"/>
      <c r="EO216" s="40"/>
      <c r="EP216" s="40"/>
      <c r="EQ216" s="40"/>
      <c r="ER216" s="40"/>
      <c r="ES216" s="40"/>
      <c r="ET216" s="40"/>
      <c r="EU216" s="40"/>
      <c r="EV216" s="40"/>
      <c r="EW216" s="40"/>
      <c r="EX216" s="40"/>
      <c r="EY216" s="40"/>
      <c r="EZ216" s="40"/>
      <c r="FA216" s="40"/>
      <c r="FB216" s="40"/>
      <c r="FC216" s="40"/>
      <c r="FD216" s="40"/>
      <c r="FE216" s="40"/>
      <c r="FF216" s="40"/>
      <c r="FG216" s="40"/>
      <c r="FH216" s="40"/>
      <c r="FI216" s="40"/>
      <c r="FJ216" s="40"/>
      <c r="FK216" s="40"/>
      <c r="FL216" s="40"/>
      <c r="FM216" s="40"/>
      <c r="FN216" s="40"/>
      <c r="FO216" s="40"/>
      <c r="FP216" s="40"/>
      <c r="FQ216" s="40"/>
      <c r="FR216" s="40"/>
      <c r="FS216" s="40"/>
      <c r="FT216" s="40"/>
      <c r="FU216" s="40"/>
      <c r="FV216" s="40"/>
    </row>
    <row r="217" spans="22:178" s="34" customFormat="1">
      <c r="V217" s="40"/>
      <c r="DK217" s="40"/>
      <c r="DL217" s="40"/>
      <c r="DM217" s="40"/>
      <c r="DN217" s="40"/>
      <c r="DO217" s="40"/>
      <c r="DP217" s="40"/>
      <c r="DQ217" s="40"/>
      <c r="DR217" s="40"/>
      <c r="DS217" s="40"/>
      <c r="DT217" s="40"/>
      <c r="DU217" s="40"/>
      <c r="DV217" s="40"/>
      <c r="DW217" s="40"/>
      <c r="DX217" s="40"/>
      <c r="DY217" s="40"/>
      <c r="DZ217" s="40"/>
      <c r="EA217" s="40"/>
      <c r="EB217" s="40"/>
      <c r="EC217" s="40"/>
      <c r="ED217" s="40"/>
      <c r="EE217" s="40"/>
      <c r="EF217" s="40"/>
      <c r="EG217" s="40"/>
      <c r="EH217" s="40"/>
      <c r="EI217" s="40"/>
      <c r="EJ217" s="40"/>
      <c r="EK217" s="40"/>
      <c r="EL217" s="40"/>
      <c r="EM217" s="40"/>
      <c r="EN217" s="40"/>
      <c r="EO217" s="40"/>
      <c r="EP217" s="40"/>
      <c r="EQ217" s="40"/>
      <c r="ER217" s="40"/>
      <c r="ES217" s="40"/>
      <c r="ET217" s="40"/>
      <c r="EU217" s="40"/>
      <c r="EV217" s="40"/>
      <c r="EW217" s="40"/>
      <c r="EX217" s="40"/>
      <c r="EY217" s="40"/>
      <c r="EZ217" s="40"/>
      <c r="FA217" s="40"/>
      <c r="FB217" s="40"/>
      <c r="FC217" s="40"/>
      <c r="FD217" s="40"/>
      <c r="FE217" s="40"/>
      <c r="FF217" s="40"/>
      <c r="FG217" s="40"/>
      <c r="FH217" s="40"/>
      <c r="FI217" s="40"/>
      <c r="FJ217" s="40"/>
      <c r="FK217" s="40"/>
      <c r="FL217" s="40"/>
      <c r="FM217" s="40"/>
      <c r="FN217" s="40"/>
      <c r="FO217" s="40"/>
      <c r="FP217" s="40"/>
      <c r="FQ217" s="40"/>
      <c r="FR217" s="40"/>
      <c r="FS217" s="40"/>
      <c r="FT217" s="40"/>
      <c r="FU217" s="40"/>
      <c r="FV217" s="40"/>
    </row>
    <row r="218" spans="22:178" s="34" customFormat="1">
      <c r="V218" s="40"/>
      <c r="DK218" s="40"/>
      <c r="DL218" s="40"/>
      <c r="DM218" s="40"/>
      <c r="DN218" s="40"/>
      <c r="DO218" s="40"/>
      <c r="DP218" s="40"/>
      <c r="DQ218" s="40"/>
      <c r="DR218" s="40"/>
      <c r="DS218" s="40"/>
      <c r="DT218" s="40"/>
      <c r="DU218" s="40"/>
      <c r="DV218" s="40"/>
      <c r="DW218" s="40"/>
      <c r="DX218" s="40"/>
      <c r="DY218" s="40"/>
      <c r="DZ218" s="40"/>
      <c r="EA218" s="40"/>
      <c r="EB218" s="40"/>
      <c r="EC218" s="40"/>
      <c r="ED218" s="40"/>
      <c r="EE218" s="40"/>
      <c r="EF218" s="40"/>
      <c r="EG218" s="40"/>
      <c r="EH218" s="40"/>
      <c r="EI218" s="40"/>
      <c r="EJ218" s="40"/>
      <c r="EK218" s="40"/>
      <c r="EL218" s="40"/>
      <c r="EM218" s="40"/>
      <c r="EN218" s="40"/>
      <c r="EO218" s="40"/>
      <c r="EP218" s="40"/>
      <c r="EQ218" s="40"/>
      <c r="ER218" s="40"/>
      <c r="ES218" s="40"/>
      <c r="ET218" s="40"/>
      <c r="EU218" s="40"/>
      <c r="EV218" s="40"/>
      <c r="EW218" s="40"/>
      <c r="EX218" s="40"/>
      <c r="EY218" s="40"/>
      <c r="EZ218" s="40"/>
      <c r="FA218" s="40"/>
      <c r="FB218" s="40"/>
      <c r="FC218" s="40"/>
      <c r="FD218" s="40"/>
      <c r="FE218" s="40"/>
      <c r="FF218" s="40"/>
      <c r="FG218" s="40"/>
      <c r="FH218" s="40"/>
      <c r="FI218" s="40"/>
      <c r="FJ218" s="40"/>
      <c r="FK218" s="40"/>
      <c r="FL218" s="40"/>
      <c r="FM218" s="40"/>
      <c r="FN218" s="40"/>
      <c r="FO218" s="40"/>
      <c r="FP218" s="40"/>
      <c r="FQ218" s="40"/>
      <c r="FR218" s="40"/>
      <c r="FS218" s="40"/>
      <c r="FT218" s="40"/>
      <c r="FU218" s="40"/>
      <c r="FV218" s="40"/>
    </row>
    <row r="219" spans="22:178" s="34" customFormat="1">
      <c r="V219" s="40"/>
      <c r="DK219" s="40"/>
      <c r="DL219" s="40"/>
      <c r="DM219" s="40"/>
      <c r="DN219" s="40"/>
      <c r="DO219" s="40"/>
      <c r="DP219" s="40"/>
      <c r="DQ219" s="40"/>
      <c r="DR219" s="40"/>
      <c r="DS219" s="40"/>
      <c r="DT219" s="40"/>
      <c r="DU219" s="40"/>
      <c r="DV219" s="40"/>
      <c r="DW219" s="40"/>
      <c r="DX219" s="40"/>
      <c r="DY219" s="40"/>
      <c r="DZ219" s="40"/>
      <c r="EA219" s="40"/>
      <c r="EB219" s="40"/>
      <c r="EC219" s="40"/>
      <c r="ED219" s="40"/>
      <c r="EE219" s="40"/>
      <c r="EF219" s="40"/>
      <c r="EG219" s="40"/>
      <c r="EH219" s="40"/>
      <c r="EI219" s="40"/>
      <c r="EJ219" s="40"/>
      <c r="EK219" s="40"/>
      <c r="EL219" s="40"/>
      <c r="EM219" s="40"/>
      <c r="EN219" s="40"/>
      <c r="EO219" s="40"/>
      <c r="EP219" s="40"/>
      <c r="EQ219" s="40"/>
      <c r="ER219" s="40"/>
      <c r="ES219" s="40"/>
      <c r="ET219" s="40"/>
      <c r="EU219" s="40"/>
      <c r="EV219" s="40"/>
      <c r="EW219" s="40"/>
      <c r="EX219" s="40"/>
      <c r="EY219" s="40"/>
      <c r="EZ219" s="40"/>
      <c r="FA219" s="40"/>
      <c r="FB219" s="40"/>
      <c r="FC219" s="40"/>
      <c r="FD219" s="40"/>
      <c r="FE219" s="40"/>
      <c r="FF219" s="40"/>
      <c r="FG219" s="40"/>
      <c r="FH219" s="40"/>
      <c r="FI219" s="40"/>
      <c r="FJ219" s="40"/>
      <c r="FK219" s="40"/>
      <c r="FL219" s="40"/>
      <c r="FM219" s="40"/>
      <c r="FN219" s="40"/>
      <c r="FO219" s="40"/>
      <c r="FP219" s="40"/>
      <c r="FQ219" s="40"/>
      <c r="FR219" s="40"/>
      <c r="FS219" s="40"/>
      <c r="FT219" s="40"/>
      <c r="FU219" s="40"/>
      <c r="FV219" s="40"/>
    </row>
    <row r="220" spans="22:178" s="34" customFormat="1">
      <c r="V220" s="40"/>
      <c r="DK220" s="40"/>
      <c r="DL220" s="40"/>
      <c r="DM220" s="40"/>
      <c r="DN220" s="40"/>
      <c r="DO220" s="40"/>
      <c r="DP220" s="40"/>
      <c r="DQ220" s="40"/>
      <c r="DR220" s="40"/>
      <c r="DS220" s="40"/>
      <c r="DT220" s="40"/>
      <c r="DU220" s="40"/>
      <c r="DV220" s="40"/>
      <c r="DW220" s="40"/>
      <c r="DX220" s="40"/>
      <c r="DY220" s="40"/>
      <c r="DZ220" s="40"/>
      <c r="EA220" s="40"/>
      <c r="EB220" s="40"/>
      <c r="EC220" s="40"/>
      <c r="ED220" s="40"/>
      <c r="EE220" s="40"/>
      <c r="EF220" s="40"/>
      <c r="EG220" s="40"/>
      <c r="EH220" s="40"/>
      <c r="EI220" s="40"/>
      <c r="EJ220" s="40"/>
      <c r="EK220" s="40"/>
      <c r="EL220" s="40"/>
      <c r="EM220" s="40"/>
      <c r="EN220" s="40"/>
      <c r="EO220" s="40"/>
      <c r="EP220" s="40"/>
      <c r="EQ220" s="40"/>
      <c r="ER220" s="40"/>
      <c r="ES220" s="40"/>
      <c r="ET220" s="40"/>
      <c r="EU220" s="40"/>
      <c r="EV220" s="40"/>
      <c r="EW220" s="40"/>
      <c r="EX220" s="40"/>
      <c r="EY220" s="40"/>
      <c r="EZ220" s="40"/>
      <c r="FA220" s="40"/>
      <c r="FB220" s="40"/>
      <c r="FC220" s="40"/>
      <c r="FD220" s="40"/>
      <c r="FE220" s="40"/>
      <c r="FF220" s="40"/>
      <c r="FG220" s="40"/>
      <c r="FH220" s="40"/>
      <c r="FI220" s="40"/>
      <c r="FJ220" s="40"/>
      <c r="FK220" s="40"/>
      <c r="FL220" s="40"/>
      <c r="FM220" s="40"/>
      <c r="FN220" s="40"/>
      <c r="FO220" s="40"/>
      <c r="FP220" s="40"/>
      <c r="FQ220" s="40"/>
      <c r="FR220" s="40"/>
      <c r="FS220" s="40"/>
      <c r="FT220" s="40"/>
      <c r="FU220" s="40"/>
      <c r="FV220" s="40"/>
    </row>
    <row r="221" spans="22:178" s="34" customFormat="1">
      <c r="V221" s="40"/>
      <c r="DK221" s="40"/>
      <c r="DL221" s="40"/>
      <c r="DM221" s="40"/>
      <c r="DN221" s="40"/>
      <c r="DO221" s="40"/>
      <c r="DP221" s="40"/>
      <c r="DQ221" s="40"/>
      <c r="DR221" s="40"/>
      <c r="DS221" s="40"/>
      <c r="DT221" s="40"/>
      <c r="DU221" s="40"/>
      <c r="DV221" s="40"/>
      <c r="DW221" s="40"/>
      <c r="DX221" s="40"/>
      <c r="DY221" s="40"/>
      <c r="DZ221" s="40"/>
      <c r="EA221" s="40"/>
      <c r="EB221" s="40"/>
      <c r="EC221" s="40"/>
      <c r="ED221" s="40"/>
      <c r="EE221" s="40"/>
      <c r="EF221" s="40"/>
      <c r="EG221" s="40"/>
      <c r="EH221" s="40"/>
      <c r="EI221" s="40"/>
      <c r="EJ221" s="40"/>
      <c r="EK221" s="40"/>
      <c r="EL221" s="40"/>
      <c r="EM221" s="40"/>
      <c r="EN221" s="40"/>
      <c r="EO221" s="40"/>
      <c r="EP221" s="40"/>
      <c r="EQ221" s="40"/>
      <c r="ER221" s="40"/>
      <c r="ES221" s="40"/>
      <c r="ET221" s="40"/>
      <c r="EU221" s="40"/>
      <c r="EV221" s="40"/>
      <c r="EW221" s="40"/>
      <c r="EX221" s="40"/>
      <c r="EY221" s="40"/>
      <c r="EZ221" s="40"/>
      <c r="FA221" s="40"/>
      <c r="FB221" s="40"/>
      <c r="FC221" s="40"/>
      <c r="FD221" s="40"/>
      <c r="FE221" s="40"/>
      <c r="FF221" s="40"/>
      <c r="FG221" s="40"/>
      <c r="FH221" s="40"/>
      <c r="FI221" s="40"/>
      <c r="FJ221" s="40"/>
      <c r="FK221" s="40"/>
      <c r="FL221" s="40"/>
      <c r="FM221" s="40"/>
      <c r="FN221" s="40"/>
      <c r="FO221" s="40"/>
      <c r="FP221" s="40"/>
      <c r="FQ221" s="40"/>
      <c r="FR221" s="40"/>
      <c r="FS221" s="40"/>
      <c r="FT221" s="40"/>
      <c r="FU221" s="40"/>
      <c r="FV221" s="40"/>
    </row>
    <row r="222" spans="22:178" s="34" customFormat="1">
      <c r="V222" s="40"/>
      <c r="DK222" s="40"/>
      <c r="DL222" s="40"/>
      <c r="DM222" s="40"/>
      <c r="DN222" s="40"/>
      <c r="DO222" s="40"/>
      <c r="DP222" s="40"/>
      <c r="DQ222" s="40"/>
      <c r="DR222" s="40"/>
      <c r="DS222" s="40"/>
      <c r="DT222" s="40"/>
      <c r="DU222" s="40"/>
      <c r="DV222" s="40"/>
      <c r="DW222" s="40"/>
      <c r="DX222" s="40"/>
      <c r="DY222" s="40"/>
      <c r="DZ222" s="40"/>
      <c r="EA222" s="40"/>
      <c r="EB222" s="40"/>
      <c r="EC222" s="40"/>
      <c r="ED222" s="40"/>
      <c r="EE222" s="40"/>
      <c r="EF222" s="40"/>
      <c r="EG222" s="40"/>
      <c r="EH222" s="40"/>
      <c r="EI222" s="40"/>
      <c r="EJ222" s="40"/>
      <c r="EK222" s="40"/>
      <c r="EL222" s="40"/>
      <c r="EM222" s="40"/>
      <c r="EN222" s="40"/>
      <c r="EO222" s="40"/>
      <c r="EP222" s="40"/>
      <c r="EQ222" s="40"/>
      <c r="ER222" s="40"/>
      <c r="ES222" s="40"/>
      <c r="ET222" s="40"/>
      <c r="EU222" s="40"/>
      <c r="EV222" s="40"/>
      <c r="EW222" s="40"/>
      <c r="EX222" s="40"/>
      <c r="EY222" s="40"/>
      <c r="EZ222" s="40"/>
      <c r="FA222" s="40"/>
      <c r="FB222" s="40"/>
      <c r="FC222" s="40"/>
      <c r="FD222" s="40"/>
      <c r="FE222" s="40"/>
      <c r="FF222" s="40"/>
      <c r="FG222" s="40"/>
      <c r="FH222" s="40"/>
      <c r="FI222" s="40"/>
      <c r="FJ222" s="40"/>
      <c r="FK222" s="40"/>
      <c r="FL222" s="40"/>
      <c r="FM222" s="40"/>
      <c r="FN222" s="40"/>
      <c r="FO222" s="40"/>
      <c r="FP222" s="40"/>
      <c r="FQ222" s="40"/>
      <c r="FR222" s="40"/>
      <c r="FS222" s="40"/>
      <c r="FT222" s="40"/>
      <c r="FU222" s="40"/>
      <c r="FV222" s="40"/>
    </row>
    <row r="223" spans="22:178" s="34" customFormat="1">
      <c r="V223" s="40"/>
      <c r="DK223" s="40"/>
      <c r="DL223" s="40"/>
      <c r="DM223" s="40"/>
      <c r="DN223" s="40"/>
      <c r="DO223" s="40"/>
      <c r="DP223" s="40"/>
      <c r="DQ223" s="40"/>
      <c r="DR223" s="40"/>
      <c r="DS223" s="40"/>
      <c r="DT223" s="40"/>
      <c r="DU223" s="40"/>
      <c r="DV223" s="40"/>
      <c r="DW223" s="40"/>
      <c r="DX223" s="40"/>
      <c r="DY223" s="40"/>
      <c r="DZ223" s="40"/>
      <c r="EA223" s="40"/>
      <c r="EB223" s="40"/>
      <c r="EC223" s="40"/>
      <c r="ED223" s="40"/>
      <c r="EE223" s="40"/>
      <c r="EF223" s="40"/>
      <c r="EG223" s="40"/>
      <c r="EH223" s="40"/>
      <c r="EI223" s="40"/>
      <c r="EJ223" s="40"/>
      <c r="EK223" s="40"/>
      <c r="EL223" s="40"/>
      <c r="EM223" s="40"/>
      <c r="EN223" s="40"/>
      <c r="EO223" s="40"/>
      <c r="EP223" s="40"/>
      <c r="EQ223" s="40"/>
      <c r="ER223" s="40"/>
      <c r="ES223" s="40"/>
      <c r="ET223" s="40"/>
      <c r="EU223" s="40"/>
      <c r="EV223" s="40"/>
      <c r="EW223" s="40"/>
      <c r="EX223" s="40"/>
      <c r="EY223" s="40"/>
      <c r="EZ223" s="40"/>
      <c r="FA223" s="40"/>
      <c r="FB223" s="40"/>
      <c r="FC223" s="40"/>
      <c r="FD223" s="40"/>
      <c r="FE223" s="40"/>
      <c r="FF223" s="40"/>
      <c r="FG223" s="40"/>
      <c r="FH223" s="40"/>
      <c r="FI223" s="40"/>
      <c r="FJ223" s="40"/>
      <c r="FK223" s="40"/>
      <c r="FL223" s="40"/>
      <c r="FM223" s="40"/>
      <c r="FN223" s="40"/>
      <c r="FO223" s="40"/>
      <c r="FP223" s="40"/>
      <c r="FQ223" s="40"/>
      <c r="FR223" s="40"/>
      <c r="FS223" s="40"/>
      <c r="FT223" s="40"/>
      <c r="FU223" s="40"/>
      <c r="FV223" s="40"/>
    </row>
    <row r="224" spans="22:178" s="34" customFormat="1">
      <c r="V224" s="40"/>
      <c r="DK224" s="40"/>
      <c r="DL224" s="40"/>
      <c r="DM224" s="40"/>
      <c r="DN224" s="40"/>
      <c r="DO224" s="40"/>
      <c r="DP224" s="40"/>
      <c r="DQ224" s="40"/>
      <c r="DR224" s="40"/>
      <c r="DS224" s="40"/>
      <c r="DT224" s="40"/>
      <c r="DU224" s="40"/>
      <c r="DV224" s="40"/>
      <c r="DW224" s="40"/>
      <c r="DX224" s="40"/>
      <c r="DY224" s="40"/>
      <c r="DZ224" s="40"/>
      <c r="EA224" s="40"/>
      <c r="EB224" s="40"/>
      <c r="EC224" s="40"/>
      <c r="ED224" s="40"/>
      <c r="EE224" s="40"/>
      <c r="EF224" s="40"/>
      <c r="EG224" s="40"/>
      <c r="EH224" s="40"/>
      <c r="EI224" s="40"/>
      <c r="EJ224" s="40"/>
      <c r="EK224" s="40"/>
      <c r="EL224" s="40"/>
      <c r="EM224" s="40"/>
      <c r="EN224" s="40"/>
      <c r="EO224" s="40"/>
      <c r="EP224" s="40"/>
      <c r="EQ224" s="40"/>
      <c r="ER224" s="40"/>
      <c r="ES224" s="40"/>
      <c r="ET224" s="40"/>
      <c r="EU224" s="40"/>
      <c r="EV224" s="40"/>
      <c r="EW224" s="40"/>
      <c r="EX224" s="40"/>
      <c r="EY224" s="40"/>
      <c r="EZ224" s="40"/>
      <c r="FA224" s="40"/>
      <c r="FB224" s="40"/>
      <c r="FC224" s="40"/>
      <c r="FD224" s="40"/>
      <c r="FE224" s="40"/>
      <c r="FF224" s="40"/>
      <c r="FG224" s="40"/>
      <c r="FH224" s="40"/>
      <c r="FI224" s="40"/>
      <c r="FJ224" s="40"/>
      <c r="FK224" s="40"/>
      <c r="FL224" s="40"/>
      <c r="FM224" s="40"/>
      <c r="FN224" s="40"/>
      <c r="FO224" s="40"/>
      <c r="FP224" s="40"/>
      <c r="FQ224" s="40"/>
      <c r="FR224" s="40"/>
      <c r="FS224" s="40"/>
      <c r="FT224" s="40"/>
      <c r="FU224" s="40"/>
      <c r="FV224" s="40"/>
    </row>
    <row r="225" spans="22:178" s="34" customFormat="1">
      <c r="V225" s="40"/>
      <c r="DK225" s="40"/>
      <c r="DL225" s="40"/>
      <c r="DM225" s="40"/>
      <c r="DN225" s="40"/>
      <c r="DO225" s="40"/>
      <c r="DP225" s="40"/>
      <c r="DQ225" s="40"/>
      <c r="DR225" s="40"/>
      <c r="DS225" s="40"/>
      <c r="DT225" s="40"/>
      <c r="DU225" s="40"/>
      <c r="DV225" s="40"/>
      <c r="DW225" s="40"/>
      <c r="DX225" s="40"/>
      <c r="DY225" s="40"/>
      <c r="DZ225" s="40"/>
      <c r="EA225" s="40"/>
      <c r="EB225" s="40"/>
      <c r="EC225" s="40"/>
      <c r="ED225" s="40"/>
      <c r="EE225" s="40"/>
      <c r="EF225" s="40"/>
      <c r="EG225" s="40"/>
      <c r="EH225" s="40"/>
      <c r="EI225" s="40"/>
      <c r="EJ225" s="40"/>
      <c r="EK225" s="40"/>
      <c r="EL225" s="40"/>
      <c r="EM225" s="40"/>
      <c r="EN225" s="40"/>
      <c r="EO225" s="40"/>
      <c r="EP225" s="40"/>
      <c r="EQ225" s="40"/>
      <c r="ER225" s="40"/>
      <c r="ES225" s="40"/>
      <c r="ET225" s="40"/>
      <c r="EU225" s="40"/>
      <c r="EV225" s="40"/>
      <c r="EW225" s="40"/>
      <c r="EX225" s="40"/>
      <c r="EY225" s="40"/>
      <c r="EZ225" s="40"/>
      <c r="FA225" s="40"/>
      <c r="FB225" s="40"/>
      <c r="FC225" s="40"/>
      <c r="FD225" s="40"/>
      <c r="FE225" s="40"/>
      <c r="FF225" s="40"/>
      <c r="FG225" s="40"/>
      <c r="FH225" s="40"/>
      <c r="FI225" s="40"/>
      <c r="FJ225" s="40"/>
      <c r="FK225" s="40"/>
      <c r="FL225" s="40"/>
      <c r="FM225" s="40"/>
      <c r="FN225" s="40"/>
      <c r="FO225" s="40"/>
      <c r="FP225" s="40"/>
      <c r="FQ225" s="40"/>
      <c r="FR225" s="40"/>
      <c r="FS225" s="40"/>
      <c r="FT225" s="40"/>
      <c r="FU225" s="40"/>
      <c r="FV225" s="40"/>
    </row>
    <row r="226" spans="22:178" s="34" customFormat="1">
      <c r="V226" s="40"/>
      <c r="DK226" s="40"/>
      <c r="DL226" s="40"/>
      <c r="DM226" s="40"/>
      <c r="DN226" s="40"/>
      <c r="DO226" s="40"/>
      <c r="DP226" s="40"/>
      <c r="DQ226" s="40"/>
      <c r="DR226" s="40"/>
      <c r="DS226" s="40"/>
      <c r="DT226" s="40"/>
      <c r="DU226" s="40"/>
      <c r="DV226" s="40"/>
      <c r="DW226" s="40"/>
      <c r="DX226" s="40"/>
      <c r="DY226" s="40"/>
      <c r="DZ226" s="40"/>
      <c r="EA226" s="40"/>
      <c r="EB226" s="40"/>
      <c r="EC226" s="40"/>
      <c r="ED226" s="40"/>
      <c r="EE226" s="40"/>
      <c r="EF226" s="40"/>
      <c r="EG226" s="40"/>
      <c r="EH226" s="40"/>
      <c r="EI226" s="40"/>
      <c r="EJ226" s="40"/>
      <c r="EK226" s="40"/>
      <c r="EL226" s="40"/>
      <c r="EM226" s="40"/>
      <c r="EN226" s="40"/>
      <c r="EO226" s="40"/>
      <c r="EP226" s="40"/>
      <c r="EQ226" s="40"/>
      <c r="ER226" s="40"/>
      <c r="ES226" s="40"/>
      <c r="ET226" s="40"/>
      <c r="EU226" s="40"/>
      <c r="EV226" s="40"/>
      <c r="EW226" s="40"/>
      <c r="EX226" s="40"/>
      <c r="EY226" s="40"/>
      <c r="EZ226" s="40"/>
      <c r="FA226" s="40"/>
      <c r="FB226" s="40"/>
      <c r="FC226" s="40"/>
      <c r="FD226" s="40"/>
      <c r="FE226" s="40"/>
      <c r="FF226" s="40"/>
      <c r="FG226" s="40"/>
      <c r="FH226" s="40"/>
      <c r="FI226" s="40"/>
      <c r="FJ226" s="40"/>
      <c r="FK226" s="40"/>
      <c r="FL226" s="40"/>
      <c r="FM226" s="40"/>
      <c r="FN226" s="40"/>
      <c r="FO226" s="40"/>
      <c r="FP226" s="40"/>
      <c r="FQ226" s="40"/>
      <c r="FR226" s="40"/>
      <c r="FS226" s="40"/>
      <c r="FT226" s="40"/>
      <c r="FU226" s="40"/>
      <c r="FV226" s="40"/>
    </row>
    <row r="227" spans="22:178" s="34" customFormat="1">
      <c r="V227" s="40"/>
      <c r="DK227" s="40"/>
      <c r="DL227" s="40"/>
      <c r="DM227" s="40"/>
      <c r="DN227" s="40"/>
      <c r="DO227" s="40"/>
      <c r="DP227" s="40"/>
      <c r="DQ227" s="40"/>
      <c r="DR227" s="40"/>
      <c r="DS227" s="40"/>
      <c r="DT227" s="40"/>
      <c r="DU227" s="40"/>
      <c r="DV227" s="40"/>
      <c r="DW227" s="40"/>
      <c r="DX227" s="40"/>
      <c r="DY227" s="40"/>
      <c r="DZ227" s="40"/>
      <c r="EA227" s="40"/>
      <c r="EB227" s="40"/>
      <c r="EC227" s="40"/>
      <c r="ED227" s="40"/>
      <c r="EE227" s="40"/>
      <c r="EF227" s="40"/>
      <c r="EG227" s="40"/>
      <c r="EH227" s="40"/>
      <c r="EI227" s="40"/>
      <c r="EJ227" s="40"/>
      <c r="EK227" s="40"/>
      <c r="EL227" s="40"/>
      <c r="EM227" s="40"/>
      <c r="EN227" s="40"/>
      <c r="EO227" s="40"/>
      <c r="EP227" s="40"/>
      <c r="EQ227" s="40"/>
      <c r="ER227" s="40"/>
      <c r="ES227" s="40"/>
      <c r="ET227" s="40"/>
      <c r="EU227" s="40"/>
      <c r="EV227" s="40"/>
      <c r="EW227" s="40"/>
      <c r="EX227" s="40"/>
      <c r="EY227" s="40"/>
      <c r="EZ227" s="40"/>
      <c r="FA227" s="40"/>
      <c r="FB227" s="40"/>
      <c r="FC227" s="40"/>
      <c r="FD227" s="40"/>
      <c r="FE227" s="40"/>
      <c r="FF227" s="40"/>
      <c r="FG227" s="40"/>
      <c r="FH227" s="40"/>
      <c r="FI227" s="40"/>
      <c r="FJ227" s="40"/>
      <c r="FK227" s="40"/>
      <c r="FL227" s="40"/>
      <c r="FM227" s="40"/>
      <c r="FN227" s="40"/>
      <c r="FO227" s="40"/>
      <c r="FP227" s="40"/>
      <c r="FQ227" s="40"/>
      <c r="FR227" s="40"/>
      <c r="FS227" s="40"/>
      <c r="FT227" s="40"/>
      <c r="FU227" s="40"/>
      <c r="FV227" s="40"/>
    </row>
    <row r="228" spans="22:178" s="34" customFormat="1">
      <c r="V228" s="40"/>
      <c r="DK228" s="40"/>
      <c r="DL228" s="40"/>
      <c r="DM228" s="40"/>
      <c r="DN228" s="40"/>
      <c r="DO228" s="40"/>
      <c r="DP228" s="40"/>
      <c r="DQ228" s="40"/>
      <c r="DR228" s="40"/>
      <c r="DS228" s="40"/>
      <c r="DT228" s="40"/>
      <c r="DU228" s="40"/>
      <c r="DV228" s="40"/>
      <c r="DW228" s="40"/>
      <c r="DX228" s="40"/>
      <c r="DY228" s="40"/>
      <c r="DZ228" s="40"/>
      <c r="EA228" s="40"/>
      <c r="EB228" s="40"/>
      <c r="EC228" s="40"/>
      <c r="ED228" s="40"/>
      <c r="EE228" s="40"/>
      <c r="EF228" s="40"/>
      <c r="EG228" s="40"/>
      <c r="EH228" s="40"/>
      <c r="EI228" s="40"/>
      <c r="EJ228" s="40"/>
      <c r="EK228" s="40"/>
      <c r="EL228" s="40"/>
      <c r="EM228" s="40"/>
      <c r="EN228" s="40"/>
      <c r="EO228" s="40"/>
      <c r="EP228" s="40"/>
      <c r="EQ228" s="40"/>
      <c r="ER228" s="40"/>
      <c r="ES228" s="40"/>
      <c r="ET228" s="40"/>
      <c r="EU228" s="40"/>
      <c r="EV228" s="40"/>
      <c r="EW228" s="40"/>
      <c r="EX228" s="40"/>
      <c r="EY228" s="40"/>
      <c r="EZ228" s="40"/>
      <c r="FA228" s="40"/>
      <c r="FB228" s="40"/>
      <c r="FC228" s="40"/>
      <c r="FD228" s="40"/>
      <c r="FE228" s="40"/>
      <c r="FF228" s="40"/>
      <c r="FG228" s="40"/>
      <c r="FH228" s="40"/>
      <c r="FI228" s="40"/>
      <c r="FJ228" s="40"/>
      <c r="FK228" s="40"/>
      <c r="FL228" s="40"/>
      <c r="FM228" s="40"/>
      <c r="FN228" s="40"/>
      <c r="FO228" s="40"/>
      <c r="FP228" s="40"/>
      <c r="FQ228" s="40"/>
      <c r="FR228" s="40"/>
      <c r="FS228" s="40"/>
      <c r="FT228" s="40"/>
      <c r="FU228" s="40"/>
      <c r="FV228" s="40"/>
    </row>
    <row r="229" spans="22:178" s="34" customFormat="1">
      <c r="V229" s="40"/>
      <c r="DK229" s="40"/>
      <c r="DL229" s="40"/>
      <c r="DM229" s="40"/>
      <c r="DN229" s="40"/>
      <c r="DO229" s="40"/>
      <c r="DP229" s="40"/>
      <c r="DQ229" s="40"/>
      <c r="DR229" s="40"/>
      <c r="DS229" s="40"/>
      <c r="DT229" s="40"/>
      <c r="DU229" s="40"/>
      <c r="DV229" s="40"/>
      <c r="DW229" s="40"/>
      <c r="DX229" s="40"/>
      <c r="DY229" s="40"/>
      <c r="DZ229" s="40"/>
      <c r="EA229" s="40"/>
      <c r="EB229" s="40"/>
      <c r="EC229" s="40"/>
      <c r="ED229" s="40"/>
      <c r="EE229" s="40"/>
      <c r="EF229" s="40"/>
      <c r="EG229" s="40"/>
      <c r="EH229" s="40"/>
      <c r="EI229" s="40"/>
      <c r="EJ229" s="40"/>
      <c r="EK229" s="40"/>
      <c r="EL229" s="40"/>
      <c r="EM229" s="40"/>
      <c r="EN229" s="40"/>
      <c r="EO229" s="40"/>
      <c r="EP229" s="40"/>
      <c r="EQ229" s="40"/>
      <c r="ER229" s="40"/>
      <c r="ES229" s="40"/>
      <c r="ET229" s="40"/>
      <c r="EU229" s="40"/>
      <c r="EV229" s="40"/>
      <c r="EW229" s="40"/>
      <c r="EX229" s="40"/>
      <c r="EY229" s="40"/>
      <c r="EZ229" s="40"/>
      <c r="FA229" s="40"/>
      <c r="FB229" s="40"/>
      <c r="FC229" s="40"/>
      <c r="FD229" s="40"/>
      <c r="FE229" s="40"/>
      <c r="FF229" s="40"/>
      <c r="FG229" s="40"/>
      <c r="FH229" s="40"/>
      <c r="FI229" s="40"/>
      <c r="FJ229" s="40"/>
      <c r="FK229" s="40"/>
      <c r="FL229" s="40"/>
      <c r="FM229" s="40"/>
      <c r="FN229" s="40"/>
      <c r="FO229" s="40"/>
      <c r="FP229" s="40"/>
      <c r="FQ229" s="40"/>
      <c r="FR229" s="40"/>
      <c r="FS229" s="40"/>
      <c r="FT229" s="40"/>
      <c r="FU229" s="40"/>
      <c r="FV229" s="40"/>
    </row>
    <row r="230" spans="22:178" s="34" customFormat="1">
      <c r="V230" s="40"/>
      <c r="DK230" s="40"/>
      <c r="DL230" s="40"/>
      <c r="DM230" s="40"/>
      <c r="DN230" s="40"/>
      <c r="DO230" s="40"/>
      <c r="DP230" s="40"/>
      <c r="DQ230" s="40"/>
      <c r="DR230" s="40"/>
      <c r="DS230" s="40"/>
      <c r="DT230" s="40"/>
      <c r="DU230" s="40"/>
      <c r="DV230" s="40"/>
      <c r="DW230" s="40"/>
      <c r="DX230" s="40"/>
      <c r="DY230" s="40"/>
      <c r="DZ230" s="40"/>
      <c r="EA230" s="40"/>
      <c r="EB230" s="40"/>
      <c r="EC230" s="40"/>
      <c r="ED230" s="40"/>
      <c r="EE230" s="40"/>
      <c r="EF230" s="40"/>
      <c r="EG230" s="40"/>
      <c r="EH230" s="40"/>
      <c r="EI230" s="40"/>
      <c r="EJ230" s="40"/>
      <c r="EK230" s="40"/>
      <c r="EL230" s="40"/>
      <c r="EM230" s="40"/>
      <c r="EN230" s="40"/>
      <c r="EO230" s="40"/>
      <c r="EP230" s="40"/>
      <c r="EQ230" s="40"/>
      <c r="ER230" s="40"/>
      <c r="ES230" s="40"/>
      <c r="ET230" s="40"/>
      <c r="EU230" s="40"/>
      <c r="EV230" s="40"/>
      <c r="EW230" s="40"/>
      <c r="EX230" s="40"/>
      <c r="EY230" s="40"/>
      <c r="EZ230" s="40"/>
      <c r="FA230" s="40"/>
      <c r="FB230" s="40"/>
      <c r="FC230" s="40"/>
      <c r="FD230" s="40"/>
      <c r="FE230" s="40"/>
      <c r="FF230" s="40"/>
      <c r="FG230" s="40"/>
      <c r="FH230" s="40"/>
      <c r="FI230" s="40"/>
      <c r="FJ230" s="40"/>
      <c r="FK230" s="40"/>
      <c r="FL230" s="40"/>
      <c r="FM230" s="40"/>
      <c r="FN230" s="40"/>
      <c r="FO230" s="40"/>
      <c r="FP230" s="40"/>
      <c r="FQ230" s="40"/>
      <c r="FR230" s="40"/>
      <c r="FS230" s="40"/>
      <c r="FT230" s="40"/>
      <c r="FU230" s="40"/>
      <c r="FV230" s="40"/>
    </row>
    <row r="231" spans="22:178" s="34" customFormat="1">
      <c r="V231" s="40"/>
      <c r="DK231" s="40"/>
      <c r="DL231" s="40"/>
      <c r="DM231" s="40"/>
      <c r="DN231" s="40"/>
      <c r="DO231" s="40"/>
      <c r="DP231" s="40"/>
      <c r="DQ231" s="40"/>
      <c r="DR231" s="40"/>
      <c r="DS231" s="40"/>
      <c r="DT231" s="40"/>
      <c r="DU231" s="40"/>
      <c r="DV231" s="40"/>
      <c r="DW231" s="40"/>
      <c r="DX231" s="40"/>
      <c r="DY231" s="40"/>
      <c r="DZ231" s="40"/>
      <c r="EA231" s="40"/>
      <c r="EB231" s="40"/>
      <c r="EC231" s="40"/>
      <c r="ED231" s="40"/>
      <c r="EE231" s="40"/>
      <c r="EF231" s="40"/>
      <c r="EG231" s="40"/>
      <c r="EH231" s="40"/>
      <c r="EI231" s="40"/>
      <c r="EJ231" s="40"/>
      <c r="EK231" s="40"/>
      <c r="EL231" s="40"/>
      <c r="EM231" s="40"/>
      <c r="EN231" s="40"/>
      <c r="EO231" s="40"/>
      <c r="EP231" s="40"/>
      <c r="EQ231" s="40"/>
      <c r="ER231" s="40"/>
      <c r="ES231" s="40"/>
      <c r="ET231" s="40"/>
      <c r="EU231" s="40"/>
      <c r="EV231" s="40"/>
      <c r="EW231" s="40"/>
      <c r="EX231" s="40"/>
      <c r="EY231" s="40"/>
      <c r="EZ231" s="40"/>
      <c r="FA231" s="40"/>
      <c r="FB231" s="40"/>
      <c r="FC231" s="40"/>
      <c r="FD231" s="40"/>
      <c r="FE231" s="40"/>
      <c r="FF231" s="40"/>
      <c r="FG231" s="40"/>
      <c r="FH231" s="40"/>
      <c r="FI231" s="40"/>
      <c r="FJ231" s="40"/>
      <c r="FK231" s="40"/>
      <c r="FL231" s="40"/>
      <c r="FM231" s="40"/>
      <c r="FN231" s="40"/>
      <c r="FO231" s="40"/>
      <c r="FP231" s="40"/>
      <c r="FQ231" s="40"/>
      <c r="FR231" s="40"/>
      <c r="FS231" s="40"/>
      <c r="FT231" s="40"/>
      <c r="FU231" s="40"/>
      <c r="FV231" s="40"/>
    </row>
    <row r="232" spans="22:178" s="34" customFormat="1">
      <c r="V232" s="40"/>
      <c r="DK232" s="40"/>
      <c r="DL232" s="40"/>
      <c r="DM232" s="40"/>
      <c r="DN232" s="40"/>
      <c r="DO232" s="40"/>
      <c r="DP232" s="40"/>
      <c r="DQ232" s="40"/>
      <c r="DR232" s="40"/>
      <c r="DS232" s="40"/>
      <c r="DT232" s="40"/>
      <c r="DU232" s="40"/>
      <c r="DV232" s="40"/>
      <c r="DW232" s="40"/>
      <c r="DX232" s="40"/>
      <c r="DY232" s="40"/>
      <c r="DZ232" s="40"/>
      <c r="EA232" s="40"/>
      <c r="EB232" s="40"/>
      <c r="EC232" s="40"/>
      <c r="ED232" s="40"/>
      <c r="EE232" s="40"/>
      <c r="EF232" s="40"/>
      <c r="EG232" s="40"/>
      <c r="EH232" s="40"/>
      <c r="EI232" s="40"/>
      <c r="EJ232" s="40"/>
      <c r="EK232" s="40"/>
      <c r="EL232" s="40"/>
      <c r="EM232" s="40"/>
      <c r="EN232" s="40"/>
      <c r="EO232" s="40"/>
      <c r="EP232" s="40"/>
      <c r="EQ232" s="40"/>
      <c r="ER232" s="40"/>
      <c r="ES232" s="40"/>
      <c r="ET232" s="40"/>
      <c r="EU232" s="40"/>
      <c r="EV232" s="40"/>
      <c r="EW232" s="40"/>
      <c r="EX232" s="40"/>
      <c r="EY232" s="40"/>
      <c r="EZ232" s="40"/>
      <c r="FA232" s="40"/>
      <c r="FB232" s="40"/>
      <c r="FC232" s="40"/>
      <c r="FD232" s="40"/>
      <c r="FE232" s="40"/>
      <c r="FF232" s="40"/>
      <c r="FG232" s="40"/>
      <c r="FH232" s="40"/>
      <c r="FI232" s="40"/>
      <c r="FJ232" s="40"/>
      <c r="FK232" s="40"/>
      <c r="FL232" s="40"/>
      <c r="FM232" s="40"/>
      <c r="FN232" s="40"/>
      <c r="FO232" s="40"/>
      <c r="FP232" s="40"/>
      <c r="FQ232" s="40"/>
      <c r="FR232" s="40"/>
      <c r="FS232" s="40"/>
      <c r="FT232" s="40"/>
      <c r="FU232" s="40"/>
      <c r="FV232" s="40"/>
    </row>
    <row r="233" spans="22:178" s="34" customFormat="1">
      <c r="V233" s="40"/>
      <c r="DK233" s="40"/>
      <c r="DL233" s="40"/>
      <c r="DM233" s="40"/>
      <c r="DN233" s="40"/>
      <c r="DO233" s="40"/>
      <c r="DP233" s="40"/>
      <c r="DQ233" s="40"/>
      <c r="DR233" s="40"/>
      <c r="DS233" s="40"/>
      <c r="DT233" s="40"/>
      <c r="DU233" s="40"/>
      <c r="DV233" s="40"/>
      <c r="DW233" s="40"/>
      <c r="DX233" s="40"/>
      <c r="DY233" s="40"/>
      <c r="DZ233" s="40"/>
      <c r="EA233" s="40"/>
      <c r="EB233" s="40"/>
      <c r="EC233" s="40"/>
      <c r="ED233" s="40"/>
      <c r="EE233" s="40"/>
      <c r="EF233" s="40"/>
      <c r="EG233" s="40"/>
      <c r="EH233" s="40"/>
      <c r="EI233" s="40"/>
      <c r="EJ233" s="40"/>
      <c r="EK233" s="40"/>
      <c r="EL233" s="40"/>
      <c r="EM233" s="40"/>
      <c r="EN233" s="40"/>
      <c r="EO233" s="40"/>
      <c r="EP233" s="40"/>
      <c r="EQ233" s="40"/>
      <c r="ER233" s="40"/>
      <c r="ES233" s="40"/>
      <c r="ET233" s="40"/>
      <c r="EU233" s="40"/>
      <c r="EV233" s="40"/>
      <c r="EW233" s="40"/>
      <c r="EX233" s="40"/>
      <c r="EY233" s="40"/>
      <c r="EZ233" s="40"/>
      <c r="FA233" s="40"/>
      <c r="FB233" s="40"/>
      <c r="FC233" s="40"/>
      <c r="FD233" s="40"/>
      <c r="FE233" s="40"/>
      <c r="FF233" s="40"/>
      <c r="FG233" s="40"/>
      <c r="FH233" s="40"/>
      <c r="FI233" s="40"/>
      <c r="FJ233" s="40"/>
      <c r="FK233" s="40"/>
      <c r="FL233" s="40"/>
      <c r="FM233" s="40"/>
      <c r="FN233" s="40"/>
      <c r="FO233" s="40"/>
      <c r="FP233" s="40"/>
      <c r="FQ233" s="40"/>
      <c r="FR233" s="40"/>
      <c r="FS233" s="40"/>
      <c r="FT233" s="40"/>
      <c r="FU233" s="40"/>
      <c r="FV233" s="40"/>
    </row>
    <row r="234" spans="22:178" s="34" customFormat="1">
      <c r="V234" s="40"/>
      <c r="DK234" s="40"/>
      <c r="DL234" s="40"/>
      <c r="DM234" s="40"/>
      <c r="DN234" s="40"/>
      <c r="DO234" s="40"/>
      <c r="DP234" s="40"/>
      <c r="DQ234" s="40"/>
      <c r="DR234" s="40"/>
      <c r="DS234" s="40"/>
      <c r="DT234" s="40"/>
      <c r="DU234" s="40"/>
      <c r="DV234" s="40"/>
      <c r="DW234" s="40"/>
      <c r="DX234" s="40"/>
      <c r="DY234" s="40"/>
      <c r="DZ234" s="40"/>
      <c r="EA234" s="40"/>
      <c r="EB234" s="40"/>
      <c r="EC234" s="40"/>
      <c r="ED234" s="40"/>
      <c r="EE234" s="40"/>
      <c r="EF234" s="40"/>
      <c r="EG234" s="40"/>
      <c r="EH234" s="40"/>
      <c r="EI234" s="40"/>
      <c r="EJ234" s="40"/>
      <c r="EK234" s="40"/>
      <c r="EL234" s="40"/>
      <c r="EM234" s="40"/>
      <c r="EN234" s="40"/>
      <c r="EO234" s="40"/>
      <c r="EP234" s="40"/>
      <c r="EQ234" s="40"/>
      <c r="ER234" s="40"/>
      <c r="ES234" s="40"/>
      <c r="ET234" s="40"/>
      <c r="EU234" s="40"/>
      <c r="EV234" s="40"/>
      <c r="EW234" s="40"/>
      <c r="EX234" s="40"/>
      <c r="EY234" s="40"/>
      <c r="EZ234" s="40"/>
      <c r="FA234" s="40"/>
      <c r="FB234" s="40"/>
      <c r="FC234" s="40"/>
      <c r="FD234" s="40"/>
      <c r="FE234" s="40"/>
      <c r="FF234" s="40"/>
      <c r="FG234" s="40"/>
      <c r="FH234" s="40"/>
      <c r="FI234" s="40"/>
      <c r="FJ234" s="40"/>
      <c r="FK234" s="40"/>
      <c r="FL234" s="40"/>
      <c r="FM234" s="40"/>
      <c r="FN234" s="40"/>
      <c r="FO234" s="40"/>
      <c r="FP234" s="40"/>
      <c r="FQ234" s="40"/>
      <c r="FR234" s="40"/>
      <c r="FS234" s="40"/>
      <c r="FT234" s="40"/>
      <c r="FU234" s="40"/>
      <c r="FV234" s="40"/>
    </row>
    <row r="235" spans="22:178" s="34" customFormat="1">
      <c r="V235" s="40"/>
      <c r="DK235" s="40"/>
      <c r="DL235" s="40"/>
      <c r="DM235" s="40"/>
      <c r="DN235" s="40"/>
      <c r="DO235" s="40"/>
      <c r="DP235" s="40"/>
      <c r="DQ235" s="40"/>
      <c r="DR235" s="40"/>
      <c r="DS235" s="40"/>
      <c r="DT235" s="40"/>
      <c r="DU235" s="40"/>
      <c r="DV235" s="40"/>
      <c r="DW235" s="40"/>
      <c r="DX235" s="40"/>
      <c r="DY235" s="40"/>
      <c r="DZ235" s="40"/>
      <c r="EA235" s="40"/>
      <c r="EB235" s="40"/>
      <c r="EC235" s="40"/>
      <c r="ED235" s="40"/>
      <c r="EE235" s="40"/>
      <c r="EF235" s="40"/>
      <c r="EG235" s="40"/>
      <c r="EH235" s="40"/>
      <c r="EI235" s="40"/>
      <c r="EJ235" s="40"/>
      <c r="EK235" s="40"/>
      <c r="EL235" s="40"/>
      <c r="EM235" s="40"/>
      <c r="EN235" s="40"/>
      <c r="EO235" s="40"/>
      <c r="EP235" s="40"/>
      <c r="EQ235" s="40"/>
      <c r="ER235" s="40"/>
      <c r="ES235" s="40"/>
      <c r="ET235" s="40"/>
      <c r="EU235" s="40"/>
      <c r="EV235" s="40"/>
      <c r="EW235" s="40"/>
      <c r="EX235" s="40"/>
      <c r="EY235" s="40"/>
      <c r="EZ235" s="40"/>
      <c r="FA235" s="40"/>
      <c r="FB235" s="40"/>
      <c r="FC235" s="40"/>
      <c r="FD235" s="40"/>
      <c r="FE235" s="40"/>
      <c r="FF235" s="40"/>
      <c r="FG235" s="40"/>
      <c r="FH235" s="40"/>
      <c r="FI235" s="40"/>
      <c r="FJ235" s="40"/>
      <c r="FK235" s="40"/>
      <c r="FL235" s="40"/>
      <c r="FM235" s="40"/>
      <c r="FN235" s="40"/>
      <c r="FO235" s="40"/>
      <c r="FP235" s="40"/>
      <c r="FQ235" s="40"/>
      <c r="FR235" s="40"/>
      <c r="FS235" s="40"/>
      <c r="FT235" s="40"/>
      <c r="FU235" s="40"/>
      <c r="FV235" s="40"/>
    </row>
    <row r="236" spans="22:178" s="34" customFormat="1">
      <c r="V236" s="40"/>
      <c r="DK236" s="40"/>
      <c r="DL236" s="40"/>
      <c r="DM236" s="40"/>
      <c r="DN236" s="40"/>
      <c r="DO236" s="40"/>
      <c r="DP236" s="40"/>
      <c r="DQ236" s="40"/>
      <c r="DR236" s="40"/>
      <c r="DS236" s="40"/>
      <c r="DT236" s="40"/>
      <c r="DU236" s="40"/>
      <c r="DV236" s="40"/>
      <c r="DW236" s="40"/>
      <c r="DX236" s="40"/>
      <c r="DY236" s="40"/>
      <c r="DZ236" s="40"/>
      <c r="EA236" s="40"/>
      <c r="EB236" s="40"/>
      <c r="EC236" s="40"/>
      <c r="ED236" s="40"/>
      <c r="EE236" s="40"/>
      <c r="EF236" s="40"/>
      <c r="EG236" s="40"/>
      <c r="EH236" s="40"/>
      <c r="EI236" s="40"/>
      <c r="EJ236" s="40"/>
      <c r="EK236" s="40"/>
      <c r="EL236" s="40"/>
      <c r="EM236" s="40"/>
      <c r="EN236" s="40"/>
      <c r="EO236" s="40"/>
      <c r="EP236" s="40"/>
      <c r="EQ236" s="40"/>
      <c r="ER236" s="40"/>
      <c r="ES236" s="40"/>
      <c r="ET236" s="40"/>
      <c r="EU236" s="40"/>
      <c r="EV236" s="40"/>
      <c r="EW236" s="40"/>
      <c r="EX236" s="40"/>
      <c r="EY236" s="40"/>
      <c r="EZ236" s="40"/>
      <c r="FA236" s="40"/>
      <c r="FB236" s="40"/>
      <c r="FC236" s="40"/>
      <c r="FD236" s="40"/>
      <c r="FE236" s="40"/>
      <c r="FF236" s="40"/>
      <c r="FG236" s="40"/>
      <c r="FH236" s="40"/>
      <c r="FI236" s="40"/>
      <c r="FJ236" s="40"/>
      <c r="FK236" s="40"/>
      <c r="FL236" s="40"/>
      <c r="FM236" s="40"/>
      <c r="FN236" s="40"/>
      <c r="FO236" s="40"/>
      <c r="FP236" s="40"/>
      <c r="FQ236" s="40"/>
      <c r="FR236" s="40"/>
      <c r="FS236" s="40"/>
      <c r="FT236" s="40"/>
      <c r="FU236" s="40"/>
      <c r="FV236" s="40"/>
    </row>
    <row r="237" spans="22:178" s="34" customFormat="1">
      <c r="V237" s="40"/>
      <c r="DK237" s="40"/>
      <c r="DL237" s="40"/>
      <c r="DM237" s="40"/>
      <c r="DN237" s="40"/>
      <c r="DO237" s="40"/>
      <c r="DP237" s="40"/>
      <c r="DQ237" s="40"/>
      <c r="DR237" s="40"/>
      <c r="DS237" s="40"/>
      <c r="DT237" s="40"/>
      <c r="DU237" s="40"/>
      <c r="DV237" s="40"/>
      <c r="DW237" s="40"/>
      <c r="DX237" s="40"/>
      <c r="DY237" s="40"/>
      <c r="DZ237" s="40"/>
      <c r="EA237" s="40"/>
      <c r="EB237" s="40"/>
      <c r="EC237" s="40"/>
      <c r="ED237" s="40"/>
      <c r="EE237" s="40"/>
      <c r="EF237" s="40"/>
      <c r="EG237" s="40"/>
      <c r="EH237" s="40"/>
      <c r="EI237" s="40"/>
      <c r="EJ237" s="40"/>
      <c r="EK237" s="40"/>
      <c r="EL237" s="40"/>
      <c r="EM237" s="40"/>
      <c r="EN237" s="40"/>
      <c r="EO237" s="40"/>
      <c r="EP237" s="40"/>
      <c r="EQ237" s="40"/>
      <c r="ER237" s="40"/>
      <c r="ES237" s="40"/>
      <c r="ET237" s="40"/>
      <c r="EU237" s="40"/>
      <c r="EV237" s="40"/>
      <c r="EW237" s="40"/>
      <c r="EX237" s="40"/>
      <c r="EY237" s="40"/>
      <c r="EZ237" s="40"/>
      <c r="FA237" s="40"/>
      <c r="FB237" s="40"/>
      <c r="FC237" s="40"/>
      <c r="FD237" s="40"/>
      <c r="FE237" s="40"/>
      <c r="FF237" s="40"/>
      <c r="FG237" s="40"/>
      <c r="FH237" s="40"/>
      <c r="FI237" s="40"/>
      <c r="FJ237" s="40"/>
      <c r="FK237" s="40"/>
      <c r="FL237" s="40"/>
      <c r="FM237" s="40"/>
      <c r="FN237" s="40"/>
      <c r="FO237" s="40"/>
      <c r="FP237" s="40"/>
      <c r="FQ237" s="40"/>
      <c r="FR237" s="40"/>
      <c r="FS237" s="40"/>
      <c r="FT237" s="40"/>
      <c r="FU237" s="40"/>
      <c r="FV237" s="40"/>
    </row>
    <row r="238" spans="22:178" s="34" customFormat="1">
      <c r="V238" s="40"/>
      <c r="DK238" s="40"/>
      <c r="DL238" s="40"/>
      <c r="DM238" s="40"/>
      <c r="DN238" s="40"/>
      <c r="DO238" s="40"/>
      <c r="DP238" s="40"/>
      <c r="DQ238" s="40"/>
      <c r="DR238" s="40"/>
      <c r="DS238" s="40"/>
      <c r="DT238" s="40"/>
      <c r="DU238" s="40"/>
      <c r="DV238" s="40"/>
      <c r="DW238" s="40"/>
      <c r="DX238" s="40"/>
      <c r="DY238" s="40"/>
      <c r="DZ238" s="40"/>
      <c r="EA238" s="40"/>
      <c r="EB238" s="40"/>
      <c r="EC238" s="40"/>
      <c r="ED238" s="40"/>
      <c r="EE238" s="40"/>
      <c r="EF238" s="40"/>
      <c r="EG238" s="40"/>
      <c r="EH238" s="40"/>
      <c r="EI238" s="40"/>
      <c r="EJ238" s="40"/>
      <c r="EK238" s="40"/>
      <c r="EL238" s="40"/>
      <c r="EM238" s="40"/>
      <c r="EN238" s="40"/>
      <c r="EO238" s="40"/>
      <c r="EP238" s="40"/>
      <c r="EQ238" s="40"/>
      <c r="ER238" s="40"/>
      <c r="ES238" s="40"/>
      <c r="ET238" s="40"/>
      <c r="EU238" s="40"/>
      <c r="EV238" s="40"/>
      <c r="EW238" s="40"/>
      <c r="EX238" s="40"/>
      <c r="EY238" s="40"/>
      <c r="EZ238" s="40"/>
      <c r="FA238" s="40"/>
      <c r="FB238" s="40"/>
      <c r="FC238" s="40"/>
      <c r="FD238" s="40"/>
      <c r="FE238" s="40"/>
      <c r="FF238" s="40"/>
      <c r="FG238" s="40"/>
      <c r="FH238" s="40"/>
      <c r="FI238" s="40"/>
      <c r="FJ238" s="40"/>
      <c r="FK238" s="40"/>
      <c r="FL238" s="40"/>
      <c r="FM238" s="40"/>
      <c r="FN238" s="40"/>
      <c r="FO238" s="40"/>
      <c r="FP238" s="40"/>
      <c r="FQ238" s="40"/>
      <c r="FR238" s="40"/>
      <c r="FS238" s="40"/>
      <c r="FT238" s="40"/>
      <c r="FU238" s="40"/>
      <c r="FV238" s="40"/>
    </row>
    <row r="239" spans="22:178" s="34" customFormat="1">
      <c r="V239" s="40"/>
      <c r="DK239" s="40"/>
      <c r="DL239" s="40"/>
      <c r="DM239" s="40"/>
      <c r="DN239" s="40"/>
      <c r="DO239" s="40"/>
      <c r="DP239" s="40"/>
      <c r="DQ239" s="40"/>
      <c r="DR239" s="40"/>
      <c r="DS239" s="40"/>
      <c r="DT239" s="40"/>
      <c r="DU239" s="40"/>
      <c r="DV239" s="40"/>
      <c r="DW239" s="40"/>
      <c r="DX239" s="40"/>
      <c r="DY239" s="40"/>
      <c r="DZ239" s="40"/>
      <c r="EA239" s="40"/>
      <c r="EB239" s="40"/>
      <c r="EC239" s="40"/>
      <c r="ED239" s="40"/>
      <c r="EE239" s="40"/>
      <c r="EF239" s="40"/>
      <c r="EG239" s="40"/>
      <c r="EH239" s="40"/>
      <c r="EI239" s="40"/>
      <c r="EJ239" s="40"/>
      <c r="EK239" s="40"/>
      <c r="EL239" s="40"/>
      <c r="EM239" s="40"/>
      <c r="EN239" s="40"/>
      <c r="EO239" s="40"/>
      <c r="EP239" s="40"/>
      <c r="EQ239" s="40"/>
      <c r="ER239" s="40"/>
      <c r="ES239" s="40"/>
      <c r="ET239" s="40"/>
      <c r="EU239" s="40"/>
      <c r="EV239" s="40"/>
      <c r="EW239" s="40"/>
      <c r="EX239" s="40"/>
      <c r="EY239" s="40"/>
      <c r="EZ239" s="40"/>
      <c r="FA239" s="40"/>
      <c r="FB239" s="40"/>
      <c r="FC239" s="40"/>
      <c r="FD239" s="40"/>
      <c r="FE239" s="40"/>
      <c r="FF239" s="40"/>
      <c r="FG239" s="40"/>
      <c r="FH239" s="40"/>
      <c r="FI239" s="40"/>
      <c r="FJ239" s="40"/>
      <c r="FK239" s="40"/>
      <c r="FL239" s="40"/>
      <c r="FM239" s="40"/>
      <c r="FN239" s="40"/>
      <c r="FO239" s="40"/>
      <c r="FP239" s="40"/>
      <c r="FQ239" s="40"/>
      <c r="FR239" s="40"/>
      <c r="FS239" s="40"/>
      <c r="FT239" s="40"/>
      <c r="FU239" s="40"/>
      <c r="FV239" s="40"/>
    </row>
    <row r="240" spans="22:178" s="34" customFormat="1">
      <c r="V240" s="40"/>
      <c r="DK240" s="40"/>
      <c r="DL240" s="40"/>
      <c r="DM240" s="40"/>
      <c r="DN240" s="40"/>
      <c r="DO240" s="40"/>
      <c r="DP240" s="40"/>
      <c r="DQ240" s="40"/>
      <c r="DR240" s="40"/>
      <c r="DS240" s="40"/>
      <c r="DT240" s="40"/>
      <c r="DU240" s="40"/>
      <c r="DV240" s="40"/>
      <c r="DW240" s="40"/>
      <c r="DX240" s="40"/>
      <c r="DY240" s="40"/>
      <c r="DZ240" s="40"/>
      <c r="EA240" s="40"/>
      <c r="EB240" s="40"/>
      <c r="EC240" s="40"/>
      <c r="ED240" s="40"/>
      <c r="EE240" s="40"/>
      <c r="EF240" s="40"/>
      <c r="EG240" s="40"/>
      <c r="EH240" s="40"/>
      <c r="EI240" s="40"/>
      <c r="EJ240" s="40"/>
      <c r="EK240" s="40"/>
      <c r="EL240" s="40"/>
      <c r="EM240" s="40"/>
      <c r="EN240" s="40"/>
      <c r="EO240" s="40"/>
      <c r="EP240" s="40"/>
      <c r="EQ240" s="40"/>
      <c r="ER240" s="40"/>
      <c r="ES240" s="40"/>
      <c r="ET240" s="40"/>
      <c r="EU240" s="40"/>
      <c r="EV240" s="40"/>
      <c r="EW240" s="40"/>
      <c r="EX240" s="40"/>
      <c r="EY240" s="40"/>
      <c r="EZ240" s="40"/>
      <c r="FA240" s="40"/>
      <c r="FB240" s="40"/>
      <c r="FC240" s="40"/>
      <c r="FD240" s="40"/>
      <c r="FE240" s="40"/>
      <c r="FF240" s="40"/>
      <c r="FG240" s="40"/>
      <c r="FH240" s="40"/>
      <c r="FI240" s="40"/>
      <c r="FJ240" s="40"/>
      <c r="FK240" s="40"/>
      <c r="FL240" s="40"/>
      <c r="FM240" s="40"/>
      <c r="FN240" s="40"/>
      <c r="FO240" s="40"/>
      <c r="FP240" s="40"/>
      <c r="FQ240" s="40"/>
      <c r="FR240" s="40"/>
      <c r="FS240" s="40"/>
      <c r="FT240" s="40"/>
      <c r="FU240" s="40"/>
      <c r="FV240" s="40"/>
    </row>
    <row r="241" spans="22:178" s="34" customFormat="1">
      <c r="V241" s="40"/>
      <c r="DK241" s="40"/>
      <c r="DL241" s="40"/>
      <c r="DM241" s="40"/>
      <c r="DN241" s="40"/>
      <c r="DO241" s="40"/>
      <c r="DP241" s="40"/>
      <c r="DQ241" s="40"/>
      <c r="DR241" s="40"/>
      <c r="DS241" s="40"/>
      <c r="DT241" s="40"/>
      <c r="DU241" s="40"/>
      <c r="DV241" s="40"/>
      <c r="DW241" s="40"/>
      <c r="DX241" s="40"/>
      <c r="DY241" s="40"/>
      <c r="DZ241" s="40"/>
      <c r="EA241" s="40"/>
      <c r="EB241" s="40"/>
      <c r="EC241" s="40"/>
      <c r="ED241" s="40"/>
      <c r="EE241" s="40"/>
      <c r="EF241" s="40"/>
      <c r="EG241" s="40"/>
      <c r="EH241" s="40"/>
      <c r="EI241" s="40"/>
      <c r="EJ241" s="40"/>
      <c r="EK241" s="40"/>
      <c r="EL241" s="40"/>
      <c r="EM241" s="40"/>
      <c r="EN241" s="40"/>
      <c r="EO241" s="40"/>
      <c r="EP241" s="40"/>
      <c r="EQ241" s="40"/>
      <c r="ER241" s="40"/>
      <c r="ES241" s="40"/>
      <c r="ET241" s="40"/>
      <c r="EU241" s="40"/>
      <c r="EV241" s="40"/>
      <c r="EW241" s="40"/>
      <c r="EX241" s="40"/>
      <c r="EY241" s="40"/>
      <c r="EZ241" s="40"/>
      <c r="FA241" s="40"/>
      <c r="FB241" s="40"/>
      <c r="FC241" s="40"/>
      <c r="FD241" s="40"/>
      <c r="FE241" s="40"/>
      <c r="FF241" s="40"/>
      <c r="FG241" s="40"/>
      <c r="FH241" s="40"/>
      <c r="FI241" s="40"/>
      <c r="FJ241" s="40"/>
      <c r="FK241" s="40"/>
      <c r="FL241" s="40"/>
      <c r="FM241" s="40"/>
      <c r="FN241" s="40"/>
      <c r="FO241" s="40"/>
      <c r="FP241" s="40"/>
      <c r="FQ241" s="40"/>
      <c r="FR241" s="40"/>
      <c r="FS241" s="40"/>
      <c r="FT241" s="40"/>
      <c r="FU241" s="40"/>
      <c r="FV241" s="40"/>
    </row>
    <row r="242" spans="22:178" s="34" customFormat="1">
      <c r="V242" s="40"/>
      <c r="DK242" s="40"/>
      <c r="DL242" s="40"/>
      <c r="DM242" s="40"/>
      <c r="DN242" s="40"/>
      <c r="DO242" s="40"/>
      <c r="DP242" s="40"/>
      <c r="DQ242" s="40"/>
      <c r="DR242" s="40"/>
      <c r="DS242" s="40"/>
      <c r="DT242" s="40"/>
      <c r="DU242" s="40"/>
      <c r="DV242" s="40"/>
      <c r="DW242" s="40"/>
      <c r="DX242" s="40"/>
      <c r="DY242" s="40"/>
      <c r="DZ242" s="40"/>
      <c r="EA242" s="40"/>
      <c r="EB242" s="40"/>
      <c r="EC242" s="40"/>
      <c r="ED242" s="40"/>
      <c r="EE242" s="40"/>
      <c r="EF242" s="40"/>
      <c r="EG242" s="40"/>
      <c r="EH242" s="40"/>
      <c r="EI242" s="40"/>
      <c r="EJ242" s="40"/>
      <c r="EK242" s="40"/>
      <c r="EL242" s="40"/>
      <c r="EM242" s="40"/>
      <c r="EN242" s="40"/>
      <c r="EO242" s="40"/>
      <c r="EP242" s="40"/>
      <c r="EQ242" s="40"/>
      <c r="ER242" s="40"/>
      <c r="ES242" s="40"/>
      <c r="ET242" s="40"/>
      <c r="EU242" s="40"/>
      <c r="EV242" s="40"/>
      <c r="EW242" s="40"/>
      <c r="EX242" s="40"/>
      <c r="EY242" s="40"/>
      <c r="EZ242" s="40"/>
      <c r="FA242" s="40"/>
      <c r="FB242" s="40"/>
      <c r="FC242" s="40"/>
      <c r="FD242" s="40"/>
      <c r="FE242" s="40"/>
      <c r="FF242" s="40"/>
      <c r="FG242" s="40"/>
      <c r="FH242" s="40"/>
      <c r="FI242" s="40"/>
      <c r="FJ242" s="40"/>
      <c r="FK242" s="40"/>
      <c r="FL242" s="40"/>
      <c r="FM242" s="40"/>
      <c r="FN242" s="40"/>
      <c r="FO242" s="40"/>
      <c r="FP242" s="40"/>
      <c r="FQ242" s="40"/>
      <c r="FR242" s="40"/>
      <c r="FS242" s="40"/>
      <c r="FT242" s="40"/>
      <c r="FU242" s="40"/>
      <c r="FV242" s="40"/>
    </row>
    <row r="243" spans="22:178" s="34" customFormat="1">
      <c r="V243" s="40"/>
      <c r="DK243" s="40"/>
      <c r="DL243" s="40"/>
      <c r="DM243" s="40"/>
      <c r="DN243" s="40"/>
      <c r="DO243" s="40"/>
      <c r="DP243" s="40"/>
      <c r="DQ243" s="40"/>
      <c r="DR243" s="40"/>
      <c r="DS243" s="40"/>
      <c r="DT243" s="40"/>
      <c r="DU243" s="40"/>
      <c r="DV243" s="40"/>
      <c r="DW243" s="40"/>
      <c r="DX243" s="40"/>
      <c r="DY243" s="40"/>
      <c r="DZ243" s="40"/>
      <c r="EA243" s="40"/>
      <c r="EB243" s="40"/>
      <c r="EC243" s="40"/>
      <c r="ED243" s="40"/>
      <c r="EE243" s="40"/>
      <c r="EF243" s="40"/>
      <c r="EG243" s="40"/>
      <c r="EH243" s="40"/>
      <c r="EI243" s="40"/>
      <c r="EJ243" s="40"/>
      <c r="EK243" s="40"/>
      <c r="EL243" s="40"/>
      <c r="EM243" s="40"/>
      <c r="EN243" s="40"/>
      <c r="EO243" s="40"/>
      <c r="EP243" s="40"/>
      <c r="EQ243" s="40"/>
      <c r="ER243" s="40"/>
      <c r="ES243" s="40"/>
      <c r="ET243" s="40"/>
      <c r="EU243" s="40"/>
      <c r="EV243" s="40"/>
      <c r="EW243" s="40"/>
      <c r="EX243" s="40"/>
      <c r="EY243" s="40"/>
      <c r="EZ243" s="40"/>
      <c r="FA243" s="40"/>
      <c r="FB243" s="40"/>
      <c r="FC243" s="40"/>
      <c r="FD243" s="40"/>
      <c r="FE243" s="40"/>
      <c r="FF243" s="40"/>
      <c r="FG243" s="40"/>
      <c r="FH243" s="40"/>
      <c r="FI243" s="40"/>
      <c r="FJ243" s="40"/>
      <c r="FK243" s="40"/>
      <c r="FL243" s="40"/>
      <c r="FM243" s="40"/>
      <c r="FN243" s="40"/>
      <c r="FO243" s="40"/>
      <c r="FP243" s="40"/>
      <c r="FQ243" s="40"/>
      <c r="FR243" s="40"/>
      <c r="FS243" s="40"/>
      <c r="FT243" s="40"/>
      <c r="FU243" s="40"/>
      <c r="FV243" s="40"/>
    </row>
    <row r="244" spans="22:178" s="34" customFormat="1">
      <c r="V244" s="40"/>
      <c r="DK244" s="40"/>
      <c r="DL244" s="40"/>
      <c r="DM244" s="40"/>
      <c r="DN244" s="40"/>
      <c r="DO244" s="40"/>
      <c r="DP244" s="40"/>
      <c r="DQ244" s="40"/>
      <c r="DR244" s="40"/>
      <c r="DS244" s="40"/>
      <c r="DT244" s="40"/>
      <c r="DU244" s="40"/>
      <c r="DV244" s="40"/>
      <c r="DW244" s="40"/>
      <c r="DX244" s="40"/>
      <c r="DY244" s="40"/>
      <c r="DZ244" s="40"/>
      <c r="EA244" s="40"/>
      <c r="EB244" s="40"/>
      <c r="EC244" s="40"/>
      <c r="ED244" s="40"/>
      <c r="EE244" s="40"/>
      <c r="EF244" s="40"/>
      <c r="EG244" s="40"/>
      <c r="EH244" s="40"/>
      <c r="EI244" s="40"/>
      <c r="EJ244" s="40"/>
      <c r="EK244" s="40"/>
      <c r="EL244" s="40"/>
      <c r="EM244" s="40"/>
      <c r="EN244" s="40"/>
      <c r="EO244" s="40"/>
      <c r="EP244" s="40"/>
      <c r="EQ244" s="40"/>
      <c r="ER244" s="40"/>
      <c r="ES244" s="40"/>
      <c r="ET244" s="40"/>
      <c r="EU244" s="40"/>
      <c r="EV244" s="40"/>
      <c r="EW244" s="40"/>
      <c r="EX244" s="40"/>
      <c r="EY244" s="40"/>
      <c r="EZ244" s="40"/>
      <c r="FA244" s="40"/>
      <c r="FB244" s="40"/>
      <c r="FC244" s="40"/>
      <c r="FD244" s="40"/>
      <c r="FE244" s="40"/>
      <c r="FF244" s="40"/>
      <c r="FG244" s="40"/>
      <c r="FH244" s="40"/>
      <c r="FI244" s="40"/>
      <c r="FJ244" s="40"/>
      <c r="FK244" s="40"/>
      <c r="FL244" s="40"/>
      <c r="FM244" s="40"/>
      <c r="FN244" s="40"/>
      <c r="FO244" s="40"/>
      <c r="FP244" s="40"/>
      <c r="FQ244" s="40"/>
      <c r="FR244" s="40"/>
      <c r="FS244" s="40"/>
      <c r="FT244" s="40"/>
      <c r="FU244" s="40"/>
      <c r="FV244" s="40"/>
    </row>
    <row r="245" spans="22:178" s="34" customFormat="1">
      <c r="V245" s="40"/>
      <c r="DK245" s="40"/>
      <c r="DL245" s="40"/>
      <c r="DM245" s="40"/>
      <c r="DN245" s="40"/>
      <c r="DO245" s="40"/>
      <c r="DP245" s="40"/>
      <c r="DQ245" s="40"/>
      <c r="DR245" s="40"/>
      <c r="DS245" s="40"/>
      <c r="DT245" s="40"/>
      <c r="DU245" s="40"/>
      <c r="DV245" s="40"/>
      <c r="DW245" s="40"/>
      <c r="DX245" s="40"/>
      <c r="DY245" s="40"/>
      <c r="DZ245" s="40"/>
      <c r="EA245" s="40"/>
      <c r="EB245" s="40"/>
      <c r="EC245" s="40"/>
      <c r="ED245" s="40"/>
      <c r="EE245" s="40"/>
      <c r="EF245" s="40"/>
      <c r="EG245" s="40"/>
      <c r="EH245" s="40"/>
      <c r="EI245" s="40"/>
      <c r="EJ245" s="40"/>
      <c r="EK245" s="40"/>
      <c r="EL245" s="40"/>
      <c r="EM245" s="40"/>
      <c r="EN245" s="40"/>
      <c r="EO245" s="40"/>
      <c r="EP245" s="40"/>
      <c r="EQ245" s="40"/>
      <c r="ER245" s="40"/>
      <c r="ES245" s="40"/>
      <c r="ET245" s="40"/>
      <c r="EU245" s="40"/>
      <c r="EV245" s="40"/>
      <c r="EW245" s="40"/>
      <c r="EX245" s="40"/>
      <c r="EY245" s="40"/>
      <c r="EZ245" s="40"/>
      <c r="FA245" s="40"/>
      <c r="FB245" s="40"/>
      <c r="FC245" s="40"/>
      <c r="FD245" s="40"/>
      <c r="FE245" s="40"/>
      <c r="FF245" s="40"/>
      <c r="FG245" s="40"/>
      <c r="FH245" s="40"/>
      <c r="FI245" s="40"/>
      <c r="FJ245" s="40"/>
      <c r="FK245" s="40"/>
      <c r="FL245" s="40"/>
      <c r="FM245" s="40"/>
      <c r="FN245" s="40"/>
      <c r="FO245" s="40"/>
      <c r="FP245" s="40"/>
      <c r="FQ245" s="40"/>
      <c r="FR245" s="40"/>
      <c r="FS245" s="40"/>
      <c r="FT245" s="40"/>
      <c r="FU245" s="40"/>
      <c r="FV245" s="40"/>
    </row>
    <row r="246" spans="22:178" s="34" customFormat="1">
      <c r="V246" s="40"/>
      <c r="DK246" s="40"/>
      <c r="DL246" s="40"/>
      <c r="DM246" s="40"/>
      <c r="DN246" s="40"/>
      <c r="DO246" s="40"/>
      <c r="DP246" s="40"/>
      <c r="DQ246" s="40"/>
      <c r="DR246" s="40"/>
      <c r="DS246" s="40"/>
      <c r="DT246" s="40"/>
      <c r="DU246" s="40"/>
      <c r="DV246" s="40"/>
      <c r="DW246" s="40"/>
      <c r="DX246" s="40"/>
      <c r="DY246" s="40"/>
      <c r="DZ246" s="40"/>
      <c r="EA246" s="40"/>
      <c r="EB246" s="40"/>
      <c r="EC246" s="40"/>
      <c r="ED246" s="40"/>
      <c r="EE246" s="40"/>
      <c r="EF246" s="40"/>
      <c r="EG246" s="40"/>
      <c r="EH246" s="40"/>
      <c r="EI246" s="40"/>
      <c r="EJ246" s="40"/>
      <c r="EK246" s="40"/>
      <c r="EL246" s="40"/>
      <c r="EM246" s="40"/>
      <c r="EN246" s="40"/>
      <c r="EO246" s="40"/>
      <c r="EP246" s="40"/>
      <c r="EQ246" s="40"/>
      <c r="ER246" s="40"/>
      <c r="ES246" s="40"/>
      <c r="ET246" s="40"/>
      <c r="EU246" s="40"/>
      <c r="EV246" s="40"/>
      <c r="EW246" s="40"/>
      <c r="EX246" s="40"/>
      <c r="EY246" s="40"/>
      <c r="EZ246" s="40"/>
      <c r="FA246" s="40"/>
      <c r="FB246" s="40"/>
      <c r="FC246" s="40"/>
      <c r="FD246" s="40"/>
      <c r="FE246" s="40"/>
      <c r="FF246" s="40"/>
      <c r="FG246" s="40"/>
      <c r="FH246" s="40"/>
      <c r="FI246" s="40"/>
      <c r="FJ246" s="40"/>
      <c r="FK246" s="40"/>
      <c r="FL246" s="40"/>
      <c r="FM246" s="40"/>
      <c r="FN246" s="40"/>
      <c r="FO246" s="40"/>
      <c r="FP246" s="40"/>
      <c r="FQ246" s="40"/>
      <c r="FR246" s="40"/>
      <c r="FS246" s="40"/>
      <c r="FT246" s="40"/>
      <c r="FU246" s="40"/>
      <c r="FV246" s="40"/>
    </row>
    <row r="247" spans="22:178" s="34" customFormat="1">
      <c r="V247" s="40"/>
      <c r="DK247" s="40"/>
      <c r="DL247" s="40"/>
      <c r="DM247" s="40"/>
      <c r="DN247" s="40"/>
      <c r="DO247" s="40"/>
      <c r="DP247" s="40"/>
      <c r="DQ247" s="40"/>
      <c r="DR247" s="40"/>
      <c r="DS247" s="40"/>
      <c r="DT247" s="40"/>
      <c r="DU247" s="40"/>
      <c r="DV247" s="40"/>
      <c r="DW247" s="40"/>
      <c r="DX247" s="40"/>
      <c r="DY247" s="40"/>
      <c r="DZ247" s="40"/>
      <c r="EA247" s="40"/>
      <c r="EB247" s="40"/>
      <c r="EC247" s="40"/>
      <c r="ED247" s="40"/>
      <c r="EE247" s="40"/>
      <c r="EF247" s="40"/>
      <c r="EG247" s="40"/>
      <c r="EH247" s="40"/>
      <c r="EI247" s="40"/>
      <c r="EJ247" s="40"/>
      <c r="EK247" s="40"/>
      <c r="EL247" s="40"/>
      <c r="EM247" s="40"/>
      <c r="EN247" s="40"/>
      <c r="EO247" s="40"/>
      <c r="EP247" s="40"/>
      <c r="EQ247" s="40"/>
      <c r="ER247" s="40"/>
      <c r="ES247" s="40"/>
      <c r="ET247" s="40"/>
      <c r="EU247" s="40"/>
      <c r="EV247" s="40"/>
      <c r="EW247" s="40"/>
      <c r="EX247" s="40"/>
      <c r="EY247" s="40"/>
      <c r="EZ247" s="40"/>
      <c r="FA247" s="40"/>
      <c r="FB247" s="40"/>
      <c r="FC247" s="40"/>
      <c r="FD247" s="40"/>
      <c r="FE247" s="40"/>
      <c r="FF247" s="40"/>
      <c r="FG247" s="40"/>
      <c r="FH247" s="40"/>
      <c r="FI247" s="40"/>
      <c r="FJ247" s="40"/>
      <c r="FK247" s="40"/>
      <c r="FL247" s="40"/>
      <c r="FM247" s="40"/>
      <c r="FN247" s="40"/>
      <c r="FO247" s="40"/>
      <c r="FP247" s="40"/>
      <c r="FQ247" s="40"/>
      <c r="FR247" s="40"/>
      <c r="FS247" s="40"/>
      <c r="FT247" s="40"/>
      <c r="FU247" s="40"/>
      <c r="FV247" s="40"/>
    </row>
    <row r="248" spans="22:178" s="34" customFormat="1">
      <c r="V248" s="40"/>
      <c r="DK248" s="40"/>
      <c r="DL248" s="40"/>
      <c r="DM248" s="40"/>
      <c r="DN248" s="40"/>
      <c r="DO248" s="40"/>
      <c r="DP248" s="40"/>
      <c r="DQ248" s="40"/>
      <c r="DR248" s="40"/>
      <c r="DS248" s="40"/>
      <c r="DT248" s="40"/>
      <c r="DU248" s="40"/>
      <c r="DV248" s="40"/>
      <c r="DW248" s="40"/>
      <c r="DX248" s="40"/>
      <c r="DY248" s="40"/>
      <c r="DZ248" s="40"/>
      <c r="EA248" s="40"/>
      <c r="EB248" s="40"/>
      <c r="EC248" s="40"/>
      <c r="ED248" s="40"/>
      <c r="EE248" s="40"/>
      <c r="EF248" s="40"/>
      <c r="EG248" s="40"/>
      <c r="EH248" s="40"/>
      <c r="EI248" s="40"/>
      <c r="EJ248" s="40"/>
      <c r="EK248" s="40"/>
      <c r="EL248" s="40"/>
      <c r="EM248" s="40"/>
      <c r="EN248" s="40"/>
      <c r="EO248" s="40"/>
      <c r="EP248" s="40"/>
      <c r="EQ248" s="40"/>
      <c r="ER248" s="40"/>
      <c r="ES248" s="40"/>
      <c r="ET248" s="40"/>
      <c r="EU248" s="40"/>
      <c r="EV248" s="40"/>
      <c r="EW248" s="40"/>
      <c r="EX248" s="40"/>
      <c r="EY248" s="40"/>
      <c r="EZ248" s="40"/>
      <c r="FA248" s="40"/>
      <c r="FB248" s="40"/>
      <c r="FC248" s="40"/>
      <c r="FD248" s="40"/>
      <c r="FE248" s="40"/>
      <c r="FF248" s="40"/>
      <c r="FG248" s="40"/>
      <c r="FH248" s="40"/>
      <c r="FI248" s="40"/>
      <c r="FJ248" s="40"/>
      <c r="FK248" s="40"/>
      <c r="FL248" s="40"/>
      <c r="FM248" s="40"/>
      <c r="FN248" s="40"/>
      <c r="FO248" s="40"/>
      <c r="FP248" s="40"/>
      <c r="FQ248" s="40"/>
      <c r="FR248" s="40"/>
      <c r="FS248" s="40"/>
      <c r="FT248" s="40"/>
      <c r="FU248" s="40"/>
      <c r="FV248" s="40"/>
    </row>
    <row r="249" spans="22:178" s="34" customFormat="1">
      <c r="V249" s="40"/>
      <c r="DK249" s="40"/>
      <c r="DL249" s="40"/>
      <c r="DM249" s="40"/>
      <c r="DN249" s="40"/>
      <c r="DO249" s="40"/>
      <c r="DP249" s="40"/>
      <c r="DQ249" s="40"/>
      <c r="DR249" s="40"/>
      <c r="DS249" s="40"/>
      <c r="DT249" s="40"/>
      <c r="DU249" s="40"/>
      <c r="DV249" s="40"/>
      <c r="DW249" s="40"/>
      <c r="DX249" s="40"/>
      <c r="DY249" s="40"/>
      <c r="DZ249" s="40"/>
      <c r="EA249" s="40"/>
      <c r="EB249" s="40"/>
      <c r="EC249" s="40"/>
      <c r="ED249" s="40"/>
      <c r="EE249" s="40"/>
      <c r="EF249" s="40"/>
      <c r="EG249" s="40"/>
      <c r="EH249" s="40"/>
      <c r="EI249" s="40"/>
      <c r="EJ249" s="40"/>
      <c r="EK249" s="40"/>
      <c r="EL249" s="40"/>
      <c r="EM249" s="40"/>
      <c r="EN249" s="40"/>
      <c r="EO249" s="40"/>
      <c r="EP249" s="40"/>
      <c r="EQ249" s="40"/>
      <c r="ER249" s="40"/>
      <c r="ES249" s="40"/>
      <c r="ET249" s="40"/>
      <c r="EU249" s="40"/>
      <c r="EV249" s="40"/>
      <c r="EW249" s="40"/>
      <c r="EX249" s="40"/>
      <c r="EY249" s="40"/>
      <c r="EZ249" s="40"/>
      <c r="FA249" s="40"/>
      <c r="FB249" s="40"/>
      <c r="FC249" s="40"/>
      <c r="FD249" s="40"/>
      <c r="FE249" s="40"/>
      <c r="FF249" s="40"/>
      <c r="FG249" s="40"/>
      <c r="FH249" s="40"/>
      <c r="FI249" s="40"/>
      <c r="FJ249" s="40"/>
      <c r="FK249" s="40"/>
      <c r="FL249" s="40"/>
      <c r="FM249" s="40"/>
      <c r="FN249" s="40"/>
      <c r="FO249" s="40"/>
      <c r="FP249" s="40"/>
      <c r="FQ249" s="40"/>
      <c r="FR249" s="40"/>
      <c r="FS249" s="40"/>
      <c r="FT249" s="40"/>
      <c r="FU249" s="40"/>
      <c r="FV249" s="40"/>
    </row>
    <row r="250" spans="22:178" s="34" customFormat="1">
      <c r="V250" s="40"/>
      <c r="DK250" s="40"/>
      <c r="DL250" s="40"/>
      <c r="DM250" s="40"/>
      <c r="DN250" s="40"/>
      <c r="DO250" s="40"/>
      <c r="DP250" s="40"/>
      <c r="DQ250" s="40"/>
      <c r="DR250" s="40"/>
      <c r="DS250" s="40"/>
      <c r="DT250" s="40"/>
      <c r="DU250" s="40"/>
      <c r="DV250" s="40"/>
      <c r="DW250" s="40"/>
      <c r="DX250" s="40"/>
      <c r="DY250" s="40"/>
      <c r="DZ250" s="40"/>
      <c r="EA250" s="40"/>
      <c r="EB250" s="40"/>
      <c r="EC250" s="40"/>
      <c r="ED250" s="40"/>
      <c r="EE250" s="40"/>
      <c r="EF250" s="40"/>
      <c r="EG250" s="40"/>
      <c r="EH250" s="40"/>
      <c r="EI250" s="40"/>
      <c r="EJ250" s="40"/>
      <c r="EK250" s="40"/>
      <c r="EL250" s="40"/>
      <c r="EM250" s="40"/>
      <c r="EN250" s="40"/>
      <c r="EO250" s="40"/>
      <c r="EP250" s="40"/>
      <c r="EQ250" s="40"/>
      <c r="ER250" s="40"/>
      <c r="ES250" s="40"/>
      <c r="ET250" s="40"/>
      <c r="EU250" s="40"/>
      <c r="EV250" s="40"/>
      <c r="EW250" s="40"/>
      <c r="EX250" s="40"/>
      <c r="EY250" s="40"/>
      <c r="EZ250" s="40"/>
      <c r="FA250" s="40"/>
      <c r="FB250" s="40"/>
      <c r="FC250" s="40"/>
      <c r="FD250" s="40"/>
      <c r="FE250" s="40"/>
      <c r="FF250" s="40"/>
      <c r="FG250" s="40"/>
      <c r="FH250" s="40"/>
      <c r="FI250" s="40"/>
      <c r="FJ250" s="40"/>
      <c r="FK250" s="40"/>
      <c r="FL250" s="40"/>
      <c r="FM250" s="40"/>
      <c r="FN250" s="40"/>
      <c r="FO250" s="40"/>
      <c r="FP250" s="40"/>
      <c r="FQ250" s="40"/>
      <c r="FR250" s="40"/>
      <c r="FS250" s="40"/>
      <c r="FT250" s="40"/>
      <c r="FU250" s="40"/>
      <c r="FV250" s="40"/>
    </row>
    <row r="251" spans="22:178" s="34" customFormat="1">
      <c r="V251" s="40"/>
      <c r="DK251" s="40"/>
      <c r="DL251" s="40"/>
      <c r="DM251" s="40"/>
      <c r="DN251" s="40"/>
      <c r="DO251" s="40"/>
      <c r="DP251" s="40"/>
      <c r="DQ251" s="40"/>
      <c r="DR251" s="40"/>
      <c r="DS251" s="40"/>
      <c r="DT251" s="40"/>
      <c r="DU251" s="40"/>
      <c r="DV251" s="40"/>
      <c r="DW251" s="40"/>
      <c r="DX251" s="40"/>
      <c r="DY251" s="40"/>
      <c r="DZ251" s="40"/>
      <c r="EA251" s="40"/>
      <c r="EB251" s="40"/>
      <c r="EC251" s="40"/>
      <c r="ED251" s="40"/>
      <c r="EE251" s="40"/>
      <c r="EF251" s="40"/>
      <c r="EG251" s="40"/>
      <c r="EH251" s="40"/>
      <c r="EI251" s="40"/>
      <c r="EJ251" s="40"/>
      <c r="EK251" s="40"/>
      <c r="EL251" s="40"/>
      <c r="EM251" s="40"/>
      <c r="EN251" s="40"/>
      <c r="EO251" s="40"/>
      <c r="EP251" s="40"/>
      <c r="EQ251" s="40"/>
      <c r="ER251" s="40"/>
      <c r="ES251" s="40"/>
      <c r="ET251" s="40"/>
      <c r="EU251" s="40"/>
      <c r="EV251" s="40"/>
      <c r="EW251" s="40"/>
      <c r="EX251" s="40"/>
      <c r="EY251" s="40"/>
      <c r="EZ251" s="40"/>
      <c r="FA251" s="40"/>
      <c r="FB251" s="40"/>
      <c r="FC251" s="40"/>
      <c r="FD251" s="40"/>
      <c r="FE251" s="40"/>
      <c r="FF251" s="40"/>
      <c r="FG251" s="40"/>
      <c r="FH251" s="40"/>
      <c r="FI251" s="40"/>
      <c r="FJ251" s="40"/>
      <c r="FK251" s="40"/>
      <c r="FL251" s="40"/>
      <c r="FM251" s="40"/>
      <c r="FN251" s="40"/>
      <c r="FO251" s="40"/>
      <c r="FP251" s="40"/>
      <c r="FQ251" s="40"/>
      <c r="FR251" s="40"/>
      <c r="FS251" s="40"/>
      <c r="FT251" s="40"/>
      <c r="FU251" s="40"/>
      <c r="FV251" s="40"/>
    </row>
    <row r="252" spans="22:178" s="34" customFormat="1">
      <c r="V252" s="40"/>
      <c r="DK252" s="40"/>
      <c r="DL252" s="40"/>
      <c r="DM252" s="40"/>
      <c r="DN252" s="40"/>
      <c r="DO252" s="40"/>
      <c r="DP252" s="40"/>
      <c r="DQ252" s="40"/>
      <c r="DR252" s="40"/>
      <c r="DS252" s="40"/>
      <c r="DT252" s="40"/>
      <c r="DU252" s="40"/>
      <c r="DV252" s="40"/>
      <c r="DW252" s="40"/>
      <c r="DX252" s="40"/>
      <c r="DY252" s="40"/>
      <c r="DZ252" s="40"/>
      <c r="EA252" s="40"/>
      <c r="EB252" s="40"/>
      <c r="EC252" s="40"/>
      <c r="ED252" s="40"/>
      <c r="EE252" s="40"/>
      <c r="EF252" s="40"/>
      <c r="EG252" s="40"/>
      <c r="EH252" s="40"/>
      <c r="EI252" s="40"/>
      <c r="EJ252" s="40"/>
      <c r="EK252" s="40"/>
      <c r="EL252" s="40"/>
      <c r="EM252" s="40"/>
      <c r="EN252" s="40"/>
      <c r="EO252" s="40"/>
      <c r="EP252" s="40"/>
      <c r="EQ252" s="40"/>
      <c r="ER252" s="40"/>
      <c r="ES252" s="40"/>
      <c r="ET252" s="40"/>
      <c r="EU252" s="40"/>
      <c r="EV252" s="40"/>
      <c r="EW252" s="40"/>
      <c r="EX252" s="40"/>
      <c r="EY252" s="40"/>
      <c r="EZ252" s="40"/>
      <c r="FA252" s="40"/>
      <c r="FB252" s="40"/>
      <c r="FC252" s="40"/>
      <c r="FD252" s="40"/>
      <c r="FE252" s="40"/>
      <c r="FF252" s="40"/>
      <c r="FG252" s="40"/>
      <c r="FH252" s="40"/>
      <c r="FI252" s="40"/>
      <c r="FJ252" s="40"/>
      <c r="FK252" s="40"/>
      <c r="FL252" s="40"/>
      <c r="FM252" s="40"/>
      <c r="FN252" s="40"/>
      <c r="FO252" s="40"/>
      <c r="FP252" s="40"/>
      <c r="FQ252" s="40"/>
      <c r="FR252" s="40"/>
      <c r="FS252" s="40"/>
      <c r="FT252" s="40"/>
      <c r="FU252" s="40"/>
      <c r="FV252" s="40"/>
    </row>
    <row r="253" spans="22:178" s="34" customFormat="1">
      <c r="V253" s="40"/>
      <c r="DK253" s="40"/>
      <c r="DL253" s="40"/>
      <c r="DM253" s="40"/>
      <c r="DN253" s="40"/>
      <c r="DO253" s="40"/>
      <c r="DP253" s="40"/>
      <c r="DQ253" s="40"/>
      <c r="DR253" s="40"/>
      <c r="DS253" s="40"/>
      <c r="DT253" s="40"/>
      <c r="DU253" s="40"/>
      <c r="DV253" s="40"/>
      <c r="DW253" s="40"/>
      <c r="DX253" s="40"/>
      <c r="DY253" s="40"/>
      <c r="DZ253" s="40"/>
      <c r="EA253" s="40"/>
      <c r="EB253" s="40"/>
      <c r="EC253" s="40"/>
      <c r="ED253" s="40"/>
      <c r="EE253" s="40"/>
      <c r="EF253" s="40"/>
      <c r="EG253" s="40"/>
      <c r="EH253" s="40"/>
      <c r="EI253" s="40"/>
      <c r="EJ253" s="40"/>
      <c r="EK253" s="40"/>
      <c r="EL253" s="40"/>
      <c r="EM253" s="40"/>
      <c r="EN253" s="40"/>
      <c r="EO253" s="40"/>
      <c r="EP253" s="40"/>
      <c r="EQ253" s="40"/>
      <c r="ER253" s="40"/>
      <c r="ES253" s="40"/>
      <c r="ET253" s="40"/>
      <c r="EU253" s="40"/>
      <c r="EV253" s="40"/>
      <c r="EW253" s="40"/>
      <c r="EX253" s="40"/>
      <c r="EY253" s="40"/>
      <c r="EZ253" s="40"/>
      <c r="FA253" s="40"/>
      <c r="FB253" s="40"/>
      <c r="FC253" s="40"/>
      <c r="FD253" s="40"/>
      <c r="FE253" s="40"/>
      <c r="FF253" s="40"/>
      <c r="FG253" s="40"/>
      <c r="FH253" s="40"/>
      <c r="FI253" s="40"/>
      <c r="FJ253" s="40"/>
      <c r="FK253" s="40"/>
      <c r="FL253" s="40"/>
      <c r="FM253" s="40"/>
      <c r="FN253" s="40"/>
      <c r="FO253" s="40"/>
      <c r="FP253" s="40"/>
      <c r="FQ253" s="40"/>
      <c r="FR253" s="40"/>
      <c r="FS253" s="40"/>
      <c r="FT253" s="40"/>
      <c r="FU253" s="40"/>
      <c r="FV253" s="40"/>
    </row>
    <row r="254" spans="22:178" s="34" customFormat="1">
      <c r="V254" s="40"/>
      <c r="DK254" s="40"/>
      <c r="DL254" s="40"/>
      <c r="DM254" s="40"/>
      <c r="DN254" s="40"/>
      <c r="DO254" s="40"/>
      <c r="DP254" s="40"/>
      <c r="DQ254" s="40"/>
      <c r="DR254" s="40"/>
      <c r="DS254" s="40"/>
      <c r="DT254" s="40"/>
      <c r="DU254" s="40"/>
      <c r="DV254" s="40"/>
      <c r="DW254" s="40"/>
      <c r="DX254" s="40"/>
      <c r="DY254" s="40"/>
      <c r="DZ254" s="40"/>
      <c r="EA254" s="40"/>
      <c r="EB254" s="40"/>
      <c r="EC254" s="40"/>
      <c r="ED254" s="40"/>
      <c r="EE254" s="40"/>
      <c r="EF254" s="40"/>
      <c r="EG254" s="40"/>
      <c r="EH254" s="40"/>
      <c r="EI254" s="40"/>
      <c r="EJ254" s="40"/>
      <c r="EK254" s="40"/>
      <c r="EL254" s="40"/>
      <c r="EM254" s="40"/>
      <c r="EN254" s="40"/>
      <c r="EO254" s="40"/>
      <c r="EP254" s="40"/>
      <c r="EQ254" s="40"/>
      <c r="ER254" s="40"/>
      <c r="ES254" s="40"/>
      <c r="ET254" s="40"/>
      <c r="EU254" s="40"/>
      <c r="EV254" s="40"/>
      <c r="EW254" s="40"/>
      <c r="EX254" s="40"/>
      <c r="EY254" s="40"/>
      <c r="EZ254" s="40"/>
      <c r="FA254" s="40"/>
      <c r="FB254" s="40"/>
      <c r="FC254" s="40"/>
      <c r="FD254" s="40"/>
      <c r="FE254" s="40"/>
      <c r="FF254" s="40"/>
      <c r="FG254" s="40"/>
      <c r="FH254" s="40"/>
      <c r="FI254" s="40"/>
      <c r="FJ254" s="40"/>
      <c r="FK254" s="40"/>
      <c r="FL254" s="40"/>
      <c r="FM254" s="40"/>
      <c r="FN254" s="40"/>
      <c r="FO254" s="40"/>
      <c r="FP254" s="40"/>
      <c r="FQ254" s="40"/>
      <c r="FR254" s="40"/>
      <c r="FS254" s="40"/>
      <c r="FT254" s="40"/>
      <c r="FU254" s="40"/>
      <c r="FV254" s="40"/>
    </row>
    <row r="255" spans="22:178" s="34" customFormat="1">
      <c r="V255" s="40"/>
      <c r="DK255" s="40"/>
      <c r="DL255" s="40"/>
      <c r="DM255" s="40"/>
      <c r="DN255" s="40"/>
      <c r="DO255" s="40"/>
      <c r="DP255" s="40"/>
      <c r="DQ255" s="40"/>
      <c r="DR255" s="40"/>
      <c r="DS255" s="40"/>
      <c r="DT255" s="40"/>
      <c r="DU255" s="40"/>
      <c r="DV255" s="40"/>
      <c r="DW255" s="40"/>
      <c r="DX255" s="40"/>
      <c r="DY255" s="40"/>
      <c r="DZ255" s="40"/>
      <c r="EA255" s="40"/>
      <c r="EB255" s="40"/>
      <c r="EC255" s="40"/>
      <c r="ED255" s="40"/>
      <c r="EE255" s="40"/>
      <c r="EF255" s="40"/>
      <c r="EG255" s="40"/>
      <c r="EH255" s="40"/>
      <c r="EI255" s="40"/>
      <c r="EJ255" s="40"/>
      <c r="EK255" s="40"/>
      <c r="EL255" s="40"/>
      <c r="EM255" s="40"/>
      <c r="EN255" s="40"/>
      <c r="EO255" s="40"/>
      <c r="EP255" s="40"/>
      <c r="EQ255" s="40"/>
      <c r="ER255" s="40"/>
      <c r="ES255" s="40"/>
      <c r="ET255" s="40"/>
      <c r="EU255" s="40"/>
      <c r="EV255" s="40"/>
      <c r="EW255" s="40"/>
      <c r="EX255" s="40"/>
      <c r="EY255" s="40"/>
      <c r="EZ255" s="40"/>
      <c r="FA255" s="40"/>
      <c r="FB255" s="40"/>
      <c r="FC255" s="40"/>
      <c r="FD255" s="40"/>
      <c r="FE255" s="40"/>
      <c r="FF255" s="40"/>
      <c r="FG255" s="40"/>
      <c r="FH255" s="40"/>
      <c r="FI255" s="40"/>
      <c r="FJ255" s="40"/>
      <c r="FK255" s="40"/>
      <c r="FL255" s="40"/>
      <c r="FM255" s="40"/>
      <c r="FN255" s="40"/>
      <c r="FO255" s="40"/>
      <c r="FP255" s="40"/>
      <c r="FQ255" s="40"/>
      <c r="FR255" s="40"/>
      <c r="FS255" s="40"/>
      <c r="FT255" s="40"/>
      <c r="FU255" s="40"/>
      <c r="FV255" s="40"/>
    </row>
    <row r="256" spans="22:178" s="34" customFormat="1">
      <c r="V256" s="40"/>
      <c r="DK256" s="40"/>
      <c r="DL256" s="40"/>
      <c r="DM256" s="40"/>
      <c r="DN256" s="40"/>
      <c r="DO256" s="40"/>
      <c r="DP256" s="40"/>
      <c r="DQ256" s="40"/>
      <c r="DR256" s="40"/>
      <c r="DS256" s="40"/>
      <c r="DT256" s="40"/>
      <c r="DU256" s="40"/>
      <c r="DV256" s="40"/>
      <c r="DW256" s="40"/>
      <c r="DX256" s="40"/>
      <c r="DY256" s="40"/>
      <c r="DZ256" s="40"/>
      <c r="EA256" s="40"/>
      <c r="EB256" s="40"/>
      <c r="EC256" s="40"/>
      <c r="ED256" s="40"/>
      <c r="EE256" s="40"/>
      <c r="EF256" s="40"/>
      <c r="EG256" s="40"/>
      <c r="EH256" s="40"/>
      <c r="EI256" s="40"/>
      <c r="EJ256" s="40"/>
      <c r="EK256" s="40"/>
      <c r="EL256" s="40"/>
      <c r="EM256" s="40"/>
      <c r="EN256" s="40"/>
      <c r="EO256" s="40"/>
      <c r="EP256" s="40"/>
      <c r="EQ256" s="40"/>
      <c r="ER256" s="40"/>
      <c r="ES256" s="40"/>
      <c r="ET256" s="40"/>
      <c r="EU256" s="40"/>
      <c r="EV256" s="40"/>
      <c r="EW256" s="40"/>
      <c r="EX256" s="40"/>
      <c r="EY256" s="40"/>
      <c r="EZ256" s="40"/>
      <c r="FA256" s="40"/>
      <c r="FB256" s="40"/>
      <c r="FC256" s="40"/>
      <c r="FD256" s="40"/>
      <c r="FE256" s="40"/>
      <c r="FF256" s="40"/>
      <c r="FG256" s="40"/>
      <c r="FH256" s="40"/>
      <c r="FI256" s="40"/>
      <c r="FJ256" s="40"/>
      <c r="FK256" s="40"/>
      <c r="FL256" s="40"/>
      <c r="FM256" s="40"/>
      <c r="FN256" s="40"/>
      <c r="FO256" s="40"/>
      <c r="FP256" s="40"/>
      <c r="FQ256" s="40"/>
      <c r="FR256" s="40"/>
      <c r="FS256" s="40"/>
      <c r="FT256" s="40"/>
      <c r="FU256" s="40"/>
      <c r="FV256" s="40"/>
    </row>
    <row r="257" spans="22:178" s="34" customFormat="1">
      <c r="V257" s="40"/>
      <c r="DK257" s="40"/>
      <c r="DL257" s="40"/>
      <c r="DM257" s="40"/>
      <c r="DN257" s="40"/>
      <c r="DO257" s="40"/>
      <c r="DP257" s="40"/>
      <c r="DQ257" s="40"/>
      <c r="DR257" s="40"/>
      <c r="DS257" s="40"/>
      <c r="DT257" s="40"/>
      <c r="DU257" s="40"/>
      <c r="DV257" s="40"/>
      <c r="DW257" s="40"/>
      <c r="DX257" s="40"/>
      <c r="DY257" s="40"/>
      <c r="DZ257" s="40"/>
      <c r="EA257" s="40"/>
      <c r="EB257" s="40"/>
      <c r="EC257" s="40"/>
      <c r="ED257" s="40"/>
      <c r="EE257" s="40"/>
      <c r="EF257" s="40"/>
      <c r="EG257" s="40"/>
      <c r="EH257" s="40"/>
      <c r="EI257" s="40"/>
      <c r="EJ257" s="40"/>
      <c r="EK257" s="40"/>
      <c r="EL257" s="40"/>
      <c r="EM257" s="40"/>
      <c r="EN257" s="40"/>
      <c r="EO257" s="40"/>
      <c r="EP257" s="40"/>
      <c r="EQ257" s="40"/>
      <c r="ER257" s="40"/>
      <c r="ES257" s="40"/>
      <c r="ET257" s="40"/>
      <c r="EU257" s="40"/>
      <c r="EV257" s="40"/>
      <c r="EW257" s="40"/>
      <c r="EX257" s="40"/>
      <c r="EY257" s="40"/>
      <c r="EZ257" s="40"/>
      <c r="FA257" s="40"/>
      <c r="FB257" s="40"/>
      <c r="FC257" s="40"/>
      <c r="FD257" s="40"/>
      <c r="FE257" s="40"/>
      <c r="FF257" s="40"/>
      <c r="FG257" s="40"/>
      <c r="FH257" s="40"/>
      <c r="FI257" s="40"/>
      <c r="FJ257" s="40"/>
      <c r="FK257" s="40"/>
      <c r="FL257" s="40"/>
      <c r="FM257" s="40"/>
      <c r="FN257" s="40"/>
      <c r="FO257" s="40"/>
      <c r="FP257" s="40"/>
      <c r="FQ257" s="40"/>
      <c r="FR257" s="40"/>
      <c r="FS257" s="40"/>
      <c r="FT257" s="40"/>
      <c r="FU257" s="40"/>
      <c r="FV257" s="40"/>
    </row>
    <row r="258" spans="22:178" s="34" customFormat="1">
      <c r="V258" s="40"/>
      <c r="DK258" s="40"/>
      <c r="DL258" s="40"/>
      <c r="DM258" s="40"/>
      <c r="DN258" s="40"/>
      <c r="DO258" s="40"/>
      <c r="DP258" s="40"/>
      <c r="DQ258" s="40"/>
      <c r="DR258" s="40"/>
      <c r="DS258" s="40"/>
      <c r="DT258" s="40"/>
      <c r="DU258" s="40"/>
      <c r="DV258" s="40"/>
      <c r="DW258" s="40"/>
      <c r="DX258" s="40"/>
      <c r="DY258" s="40"/>
      <c r="DZ258" s="40"/>
      <c r="EA258" s="40"/>
      <c r="EB258" s="40"/>
      <c r="EC258" s="40"/>
      <c r="ED258" s="40"/>
      <c r="EE258" s="40"/>
      <c r="EF258" s="40"/>
      <c r="EG258" s="40"/>
      <c r="EH258" s="40"/>
      <c r="EI258" s="40"/>
      <c r="EJ258" s="40"/>
      <c r="EK258" s="40"/>
      <c r="EL258" s="40"/>
      <c r="EM258" s="40"/>
      <c r="EN258" s="40"/>
      <c r="EO258" s="40"/>
      <c r="EP258" s="40"/>
      <c r="EQ258" s="40"/>
      <c r="ER258" s="40"/>
      <c r="ES258" s="40"/>
      <c r="ET258" s="40"/>
      <c r="EU258" s="40"/>
      <c r="EV258" s="40"/>
      <c r="EW258" s="40"/>
      <c r="EX258" s="40"/>
      <c r="EY258" s="40"/>
      <c r="EZ258" s="40"/>
      <c r="FA258" s="40"/>
      <c r="FB258" s="40"/>
      <c r="FC258" s="40"/>
      <c r="FD258" s="40"/>
      <c r="FE258" s="40"/>
      <c r="FF258" s="40"/>
      <c r="FG258" s="40"/>
      <c r="FH258" s="40"/>
      <c r="FI258" s="40"/>
      <c r="FJ258" s="40"/>
      <c r="FK258" s="40"/>
      <c r="FL258" s="40"/>
      <c r="FM258" s="40"/>
      <c r="FN258" s="40"/>
      <c r="FO258" s="40"/>
      <c r="FP258" s="40"/>
      <c r="FQ258" s="40"/>
      <c r="FR258" s="40"/>
      <c r="FS258" s="40"/>
      <c r="FT258" s="40"/>
      <c r="FU258" s="40"/>
      <c r="FV258" s="40"/>
    </row>
    <row r="259" spans="22:178" s="34" customFormat="1">
      <c r="V259" s="40"/>
      <c r="DK259" s="40"/>
      <c r="DL259" s="40"/>
      <c r="DM259" s="40"/>
      <c r="DN259" s="40"/>
      <c r="DO259" s="40"/>
      <c r="DP259" s="40"/>
      <c r="DQ259" s="40"/>
      <c r="DR259" s="40"/>
      <c r="DS259" s="40"/>
      <c r="DT259" s="40"/>
      <c r="DU259" s="40"/>
      <c r="DV259" s="40"/>
      <c r="DW259" s="40"/>
      <c r="DX259" s="40"/>
      <c r="DY259" s="40"/>
      <c r="DZ259" s="40"/>
      <c r="EA259" s="40"/>
      <c r="EB259" s="40"/>
      <c r="EC259" s="40"/>
      <c r="ED259" s="40"/>
      <c r="EE259" s="40"/>
      <c r="EF259" s="40"/>
      <c r="EG259" s="40"/>
      <c r="EH259" s="40"/>
      <c r="EI259" s="40"/>
      <c r="EJ259" s="40"/>
      <c r="EK259" s="40"/>
      <c r="EL259" s="40"/>
      <c r="EM259" s="40"/>
      <c r="EN259" s="40"/>
      <c r="EO259" s="40"/>
      <c r="EP259" s="40"/>
      <c r="EQ259" s="40"/>
      <c r="ER259" s="40"/>
      <c r="ES259" s="40"/>
      <c r="ET259" s="40"/>
      <c r="EU259" s="40"/>
      <c r="EV259" s="40"/>
      <c r="EW259" s="40"/>
      <c r="EX259" s="40"/>
      <c r="EY259" s="40"/>
      <c r="EZ259" s="40"/>
      <c r="FA259" s="40"/>
      <c r="FB259" s="40"/>
      <c r="FC259" s="40"/>
      <c r="FD259" s="40"/>
      <c r="FE259" s="40"/>
      <c r="FF259" s="40"/>
      <c r="FG259" s="40"/>
      <c r="FH259" s="40"/>
      <c r="FI259" s="40"/>
      <c r="FJ259" s="40"/>
      <c r="FK259" s="40"/>
      <c r="FL259" s="40"/>
      <c r="FM259" s="40"/>
      <c r="FN259" s="40"/>
      <c r="FO259" s="40"/>
      <c r="FP259" s="40"/>
      <c r="FQ259" s="40"/>
      <c r="FR259" s="40"/>
      <c r="FS259" s="40"/>
      <c r="FT259" s="40"/>
      <c r="FU259" s="40"/>
      <c r="FV259" s="40"/>
    </row>
    <row r="260" spans="22:178" s="34" customFormat="1">
      <c r="V260" s="40"/>
      <c r="DK260" s="40"/>
      <c r="DL260" s="40"/>
      <c r="DM260" s="40"/>
      <c r="DN260" s="40"/>
      <c r="DO260" s="40"/>
      <c r="DP260" s="40"/>
      <c r="DQ260" s="40"/>
      <c r="DR260" s="40"/>
      <c r="DS260" s="40"/>
      <c r="DT260" s="40"/>
      <c r="DU260" s="40"/>
      <c r="DV260" s="40"/>
      <c r="DW260" s="40"/>
      <c r="DX260" s="40"/>
      <c r="DY260" s="40"/>
      <c r="DZ260" s="40"/>
      <c r="EA260" s="40"/>
      <c r="EB260" s="40"/>
      <c r="EC260" s="40"/>
      <c r="ED260" s="40"/>
      <c r="EE260" s="40"/>
      <c r="EF260" s="40"/>
      <c r="EG260" s="40"/>
      <c r="EH260" s="40"/>
      <c r="EI260" s="40"/>
      <c r="EJ260" s="40"/>
      <c r="EK260" s="40"/>
      <c r="EL260" s="40"/>
      <c r="EM260" s="40"/>
      <c r="EN260" s="40"/>
      <c r="EO260" s="40"/>
      <c r="EP260" s="40"/>
      <c r="EQ260" s="40"/>
      <c r="ER260" s="40"/>
      <c r="ES260" s="40"/>
      <c r="ET260" s="40"/>
      <c r="EU260" s="40"/>
      <c r="EV260" s="40"/>
      <c r="EW260" s="40"/>
      <c r="EX260" s="40"/>
      <c r="EY260" s="40"/>
      <c r="EZ260" s="40"/>
      <c r="FA260" s="40"/>
      <c r="FB260" s="40"/>
      <c r="FC260" s="40"/>
      <c r="FD260" s="40"/>
      <c r="FE260" s="40"/>
      <c r="FF260" s="40"/>
      <c r="FG260" s="40"/>
      <c r="FH260" s="40"/>
      <c r="FI260" s="40"/>
      <c r="FJ260" s="40"/>
      <c r="FK260" s="40"/>
      <c r="FL260" s="40"/>
      <c r="FM260" s="40"/>
      <c r="FN260" s="40"/>
      <c r="FO260" s="40"/>
      <c r="FP260" s="40"/>
      <c r="FQ260" s="40"/>
      <c r="FR260" s="40"/>
      <c r="FS260" s="40"/>
      <c r="FT260" s="40"/>
      <c r="FU260" s="40"/>
      <c r="FV260" s="40"/>
    </row>
    <row r="261" spans="22:178" s="34" customFormat="1">
      <c r="V261" s="40"/>
      <c r="DK261" s="40"/>
      <c r="DL261" s="40"/>
      <c r="DM261" s="40"/>
      <c r="DN261" s="40"/>
      <c r="DO261" s="40"/>
      <c r="DP261" s="40"/>
      <c r="DQ261" s="40"/>
      <c r="DR261" s="40"/>
      <c r="DS261" s="40"/>
      <c r="DT261" s="40"/>
      <c r="DU261" s="40"/>
      <c r="DV261" s="40"/>
      <c r="DW261" s="40"/>
      <c r="DX261" s="40"/>
      <c r="DY261" s="40"/>
      <c r="DZ261" s="40"/>
      <c r="EA261" s="40"/>
      <c r="EB261" s="40"/>
      <c r="EC261" s="40"/>
      <c r="ED261" s="40"/>
      <c r="EE261" s="40"/>
      <c r="EF261" s="40"/>
      <c r="EG261" s="40"/>
      <c r="EH261" s="40"/>
      <c r="EI261" s="40"/>
      <c r="EJ261" s="40"/>
      <c r="EK261" s="40"/>
      <c r="EL261" s="40"/>
      <c r="EM261" s="40"/>
      <c r="EN261" s="40"/>
      <c r="EO261" s="40"/>
      <c r="EP261" s="40"/>
      <c r="EQ261" s="40"/>
      <c r="ER261" s="40"/>
      <c r="ES261" s="40"/>
      <c r="ET261" s="40"/>
      <c r="EU261" s="40"/>
      <c r="EV261" s="40"/>
      <c r="EW261" s="40"/>
      <c r="EX261" s="40"/>
      <c r="EY261" s="40"/>
      <c r="EZ261" s="40"/>
      <c r="FA261" s="40"/>
      <c r="FB261" s="40"/>
      <c r="FC261" s="40"/>
      <c r="FD261" s="40"/>
      <c r="FE261" s="40"/>
      <c r="FF261" s="40"/>
      <c r="FG261" s="40"/>
      <c r="FH261" s="40"/>
      <c r="FI261" s="40"/>
      <c r="FJ261" s="40"/>
      <c r="FK261" s="40"/>
      <c r="FL261" s="40"/>
      <c r="FM261" s="40"/>
      <c r="FN261" s="40"/>
      <c r="FO261" s="40"/>
      <c r="FP261" s="40"/>
      <c r="FQ261" s="40"/>
      <c r="FR261" s="40"/>
      <c r="FS261" s="40"/>
      <c r="FT261" s="40"/>
      <c r="FU261" s="40"/>
      <c r="FV261" s="40"/>
    </row>
    <row r="262" spans="22:178" s="34" customFormat="1">
      <c r="V262" s="40"/>
      <c r="DK262" s="40"/>
      <c r="DL262" s="40"/>
      <c r="DM262" s="40"/>
      <c r="DN262" s="40"/>
      <c r="DO262" s="40"/>
      <c r="DP262" s="40"/>
      <c r="DQ262" s="40"/>
      <c r="DR262" s="40"/>
      <c r="DS262" s="40"/>
      <c r="DT262" s="40"/>
      <c r="DU262" s="40"/>
      <c r="DV262" s="40"/>
      <c r="DW262" s="40"/>
      <c r="DX262" s="40"/>
      <c r="DY262" s="40"/>
      <c r="DZ262" s="40"/>
      <c r="EA262" s="40"/>
      <c r="EB262" s="40"/>
      <c r="EC262" s="40"/>
      <c r="ED262" s="40"/>
      <c r="EE262" s="40"/>
      <c r="EF262" s="40"/>
      <c r="EG262" s="40"/>
      <c r="EH262" s="40"/>
      <c r="EI262" s="40"/>
      <c r="EJ262" s="40"/>
      <c r="EK262" s="40"/>
      <c r="EL262" s="40"/>
      <c r="EM262" s="40"/>
      <c r="EN262" s="40"/>
      <c r="EO262" s="40"/>
      <c r="EP262" s="40"/>
      <c r="EQ262" s="40"/>
      <c r="ER262" s="40"/>
      <c r="ES262" s="40"/>
      <c r="ET262" s="40"/>
      <c r="EU262" s="40"/>
      <c r="EV262" s="40"/>
      <c r="EW262" s="40"/>
      <c r="EX262" s="40"/>
      <c r="EY262" s="40"/>
      <c r="EZ262" s="40"/>
      <c r="FA262" s="40"/>
      <c r="FB262" s="40"/>
      <c r="FC262" s="40"/>
      <c r="FD262" s="40"/>
      <c r="FE262" s="40"/>
      <c r="FF262" s="40"/>
      <c r="FG262" s="40"/>
      <c r="FH262" s="40"/>
      <c r="FI262" s="40"/>
      <c r="FJ262" s="40"/>
      <c r="FK262" s="40"/>
      <c r="FL262" s="40"/>
      <c r="FM262" s="40"/>
      <c r="FN262" s="40"/>
      <c r="FO262" s="40"/>
      <c r="FP262" s="40"/>
      <c r="FQ262" s="40"/>
      <c r="FR262" s="40"/>
      <c r="FS262" s="40"/>
      <c r="FT262" s="40"/>
      <c r="FU262" s="40"/>
      <c r="FV262" s="40"/>
    </row>
    <row r="263" spans="22:178" s="34" customFormat="1">
      <c r="V263" s="40"/>
      <c r="DK263" s="40"/>
      <c r="DL263" s="40"/>
      <c r="DM263" s="40"/>
      <c r="DN263" s="40"/>
      <c r="DO263" s="40"/>
      <c r="DP263" s="40"/>
      <c r="DQ263" s="40"/>
      <c r="DR263" s="40"/>
      <c r="DS263" s="40"/>
      <c r="DT263" s="40"/>
      <c r="DU263" s="40"/>
      <c r="DV263" s="40"/>
      <c r="DW263" s="40"/>
      <c r="DX263" s="40"/>
      <c r="DY263" s="40"/>
      <c r="DZ263" s="40"/>
      <c r="EA263" s="40"/>
      <c r="EB263" s="40"/>
      <c r="EC263" s="40"/>
      <c r="ED263" s="40"/>
      <c r="EE263" s="40"/>
      <c r="EF263" s="40"/>
      <c r="EG263" s="40"/>
      <c r="EH263" s="40"/>
      <c r="EI263" s="40"/>
      <c r="EJ263" s="40"/>
      <c r="EK263" s="40"/>
      <c r="EL263" s="40"/>
      <c r="EM263" s="40"/>
      <c r="EN263" s="40"/>
      <c r="EO263" s="40"/>
      <c r="EP263" s="40"/>
      <c r="EQ263" s="40"/>
      <c r="ER263" s="40"/>
      <c r="ES263" s="40"/>
      <c r="ET263" s="40"/>
      <c r="EU263" s="40"/>
      <c r="EV263" s="40"/>
      <c r="EW263" s="40"/>
      <c r="EX263" s="40"/>
      <c r="EY263" s="40"/>
      <c r="EZ263" s="40"/>
      <c r="FA263" s="40"/>
      <c r="FB263" s="40"/>
      <c r="FC263" s="40"/>
      <c r="FD263" s="40"/>
      <c r="FE263" s="40"/>
      <c r="FF263" s="40"/>
      <c r="FG263" s="40"/>
      <c r="FH263" s="40"/>
      <c r="FI263" s="40"/>
      <c r="FJ263" s="40"/>
      <c r="FK263" s="40"/>
      <c r="FL263" s="40"/>
      <c r="FM263" s="40"/>
      <c r="FN263" s="40"/>
      <c r="FO263" s="40"/>
      <c r="FP263" s="40"/>
      <c r="FQ263" s="40"/>
      <c r="FR263" s="40"/>
      <c r="FS263" s="40"/>
      <c r="FT263" s="40"/>
      <c r="FU263" s="40"/>
      <c r="FV263" s="40"/>
    </row>
    <row r="264" spans="22:178" s="34" customFormat="1">
      <c r="V264" s="40"/>
      <c r="DK264" s="40"/>
      <c r="DL264" s="40"/>
      <c r="DM264" s="40"/>
      <c r="DN264" s="40"/>
      <c r="DO264" s="40"/>
      <c r="DP264" s="40"/>
      <c r="DQ264" s="40"/>
      <c r="DR264" s="40"/>
      <c r="DS264" s="40"/>
      <c r="DT264" s="40"/>
      <c r="DU264" s="40"/>
      <c r="DV264" s="40"/>
      <c r="DW264" s="40"/>
      <c r="DX264" s="40"/>
      <c r="DY264" s="40"/>
      <c r="DZ264" s="40"/>
      <c r="EA264" s="40"/>
      <c r="EB264" s="40"/>
      <c r="EC264" s="40"/>
      <c r="ED264" s="40"/>
      <c r="EE264" s="40"/>
      <c r="EF264" s="40"/>
      <c r="EG264" s="40"/>
      <c r="EH264" s="40"/>
      <c r="EI264" s="40"/>
      <c r="EJ264" s="40"/>
      <c r="EK264" s="40"/>
      <c r="EL264" s="40"/>
      <c r="EM264" s="40"/>
      <c r="EN264" s="40"/>
      <c r="EO264" s="40"/>
      <c r="EP264" s="40"/>
      <c r="EQ264" s="40"/>
      <c r="ER264" s="40"/>
      <c r="ES264" s="40"/>
      <c r="ET264" s="40"/>
      <c r="EU264" s="40"/>
      <c r="EV264" s="40"/>
      <c r="EW264" s="40"/>
      <c r="EX264" s="40"/>
      <c r="EY264" s="40"/>
      <c r="EZ264" s="40"/>
      <c r="FA264" s="40"/>
      <c r="FB264" s="40"/>
      <c r="FC264" s="40"/>
      <c r="FD264" s="40"/>
      <c r="FE264" s="40"/>
      <c r="FF264" s="40"/>
      <c r="FG264" s="40"/>
      <c r="FH264" s="40"/>
      <c r="FI264" s="40"/>
      <c r="FJ264" s="40"/>
      <c r="FK264" s="40"/>
      <c r="FL264" s="40"/>
      <c r="FM264" s="40"/>
      <c r="FN264" s="40"/>
      <c r="FO264" s="40"/>
      <c r="FP264" s="40"/>
      <c r="FQ264" s="40"/>
      <c r="FR264" s="40"/>
      <c r="FS264" s="40"/>
      <c r="FT264" s="40"/>
      <c r="FU264" s="40"/>
      <c r="FV264" s="40"/>
    </row>
    <row r="265" spans="22:178" s="34" customFormat="1">
      <c r="V265" s="40"/>
      <c r="DK265" s="40"/>
      <c r="DL265" s="40"/>
      <c r="DM265" s="40"/>
      <c r="DN265" s="40"/>
      <c r="DO265" s="40"/>
      <c r="DP265" s="40"/>
      <c r="DQ265" s="40"/>
      <c r="DR265" s="40"/>
      <c r="DS265" s="40"/>
      <c r="DT265" s="40"/>
      <c r="DU265" s="40"/>
      <c r="DV265" s="40"/>
      <c r="DW265" s="40"/>
      <c r="DX265" s="40"/>
      <c r="DY265" s="40"/>
      <c r="DZ265" s="40"/>
      <c r="EA265" s="40"/>
      <c r="EB265" s="40"/>
      <c r="EC265" s="40"/>
      <c r="ED265" s="40"/>
      <c r="EE265" s="40"/>
      <c r="EF265" s="40"/>
      <c r="EG265" s="40"/>
      <c r="EH265" s="40"/>
      <c r="EI265" s="40"/>
      <c r="EJ265" s="40"/>
      <c r="EK265" s="40"/>
      <c r="EL265" s="40"/>
      <c r="EM265" s="40"/>
      <c r="EN265" s="40"/>
      <c r="EO265" s="40"/>
      <c r="EP265" s="40"/>
      <c r="EQ265" s="40"/>
      <c r="ER265" s="40"/>
      <c r="ES265" s="40"/>
      <c r="ET265" s="40"/>
      <c r="EU265" s="40"/>
      <c r="EV265" s="40"/>
      <c r="EW265" s="40"/>
      <c r="EX265" s="40"/>
      <c r="EY265" s="40"/>
      <c r="EZ265" s="40"/>
      <c r="FA265" s="40"/>
      <c r="FB265" s="40"/>
      <c r="FC265" s="40"/>
      <c r="FD265" s="40"/>
      <c r="FE265" s="40"/>
      <c r="FF265" s="40"/>
      <c r="FG265" s="40"/>
      <c r="FH265" s="40"/>
      <c r="FI265" s="40"/>
      <c r="FJ265" s="40"/>
      <c r="FK265" s="40"/>
      <c r="FL265" s="40"/>
      <c r="FM265" s="40"/>
      <c r="FN265" s="40"/>
      <c r="FO265" s="40"/>
      <c r="FP265" s="40"/>
      <c r="FQ265" s="40"/>
      <c r="FR265" s="40"/>
      <c r="FS265" s="40"/>
      <c r="FT265" s="40"/>
      <c r="FU265" s="40"/>
      <c r="FV265" s="40"/>
    </row>
    <row r="266" spans="22:178" s="34" customFormat="1">
      <c r="V266" s="40"/>
      <c r="DK266" s="40"/>
      <c r="DL266" s="40"/>
      <c r="DM266" s="40"/>
      <c r="DN266" s="40"/>
      <c r="DO266" s="40"/>
      <c r="DP266" s="40"/>
      <c r="DQ266" s="40"/>
      <c r="DR266" s="40"/>
      <c r="DS266" s="40"/>
      <c r="DT266" s="40"/>
      <c r="DU266" s="40"/>
      <c r="DV266" s="40"/>
      <c r="DW266" s="40"/>
      <c r="DX266" s="40"/>
      <c r="DY266" s="40"/>
      <c r="DZ266" s="40"/>
      <c r="EA266" s="40"/>
      <c r="EB266" s="40"/>
      <c r="EC266" s="40"/>
      <c r="ED266" s="40"/>
      <c r="EE266" s="40"/>
      <c r="EF266" s="40"/>
      <c r="EG266" s="40"/>
      <c r="EH266" s="40"/>
      <c r="EI266" s="40"/>
      <c r="EJ266" s="40"/>
      <c r="EK266" s="40"/>
      <c r="EL266" s="40"/>
      <c r="EM266" s="40"/>
      <c r="EN266" s="40"/>
      <c r="EO266" s="40"/>
      <c r="EP266" s="40"/>
      <c r="EQ266" s="40"/>
      <c r="ER266" s="40"/>
      <c r="ES266" s="40"/>
      <c r="ET266" s="40"/>
      <c r="EU266" s="40"/>
      <c r="EV266" s="40"/>
      <c r="EW266" s="40"/>
      <c r="EX266" s="40"/>
      <c r="EY266" s="40"/>
      <c r="EZ266" s="40"/>
      <c r="FA266" s="40"/>
      <c r="FB266" s="40"/>
      <c r="FC266" s="40"/>
      <c r="FD266" s="40"/>
      <c r="FE266" s="40"/>
      <c r="FF266" s="40"/>
      <c r="FG266" s="40"/>
      <c r="FH266" s="40"/>
      <c r="FI266" s="40"/>
      <c r="FJ266" s="40"/>
      <c r="FK266" s="40"/>
      <c r="FL266" s="40"/>
      <c r="FM266" s="40"/>
      <c r="FN266" s="40"/>
      <c r="FO266" s="40"/>
      <c r="FP266" s="40"/>
      <c r="FQ266" s="40"/>
      <c r="FR266" s="40"/>
      <c r="FS266" s="40"/>
      <c r="FT266" s="40"/>
      <c r="FU266" s="40"/>
      <c r="FV266" s="40"/>
    </row>
    <row r="267" spans="22:178" s="34" customFormat="1">
      <c r="V267" s="40"/>
      <c r="DK267" s="40"/>
      <c r="DL267" s="40"/>
      <c r="DM267" s="40"/>
      <c r="DN267" s="40"/>
      <c r="DO267" s="40"/>
      <c r="DP267" s="40"/>
      <c r="DQ267" s="40"/>
      <c r="DR267" s="40"/>
      <c r="DS267" s="40"/>
      <c r="DT267" s="40"/>
      <c r="DU267" s="40"/>
      <c r="DV267" s="40"/>
      <c r="DW267" s="40"/>
      <c r="DX267" s="40"/>
      <c r="DY267" s="40"/>
      <c r="DZ267" s="40"/>
      <c r="EA267" s="40"/>
      <c r="EB267" s="40"/>
      <c r="EC267" s="40"/>
      <c r="ED267" s="40"/>
      <c r="EE267" s="40"/>
      <c r="EF267" s="40"/>
      <c r="EG267" s="40"/>
      <c r="EH267" s="40"/>
      <c r="EI267" s="40"/>
      <c r="EJ267" s="40"/>
      <c r="EK267" s="40"/>
      <c r="EL267" s="40"/>
      <c r="EM267" s="40"/>
      <c r="EN267" s="40"/>
      <c r="EO267" s="40"/>
      <c r="EP267" s="40"/>
      <c r="EQ267" s="40"/>
      <c r="ER267" s="40"/>
      <c r="ES267" s="40"/>
      <c r="ET267" s="40"/>
      <c r="EU267" s="40"/>
      <c r="EV267" s="40"/>
      <c r="EW267" s="40"/>
      <c r="EX267" s="40"/>
      <c r="EY267" s="40"/>
      <c r="EZ267" s="40"/>
      <c r="FA267" s="40"/>
      <c r="FB267" s="40"/>
      <c r="FC267" s="40"/>
      <c r="FD267" s="40"/>
      <c r="FE267" s="40"/>
      <c r="FF267" s="40"/>
      <c r="FG267" s="40"/>
      <c r="FH267" s="40"/>
      <c r="FI267" s="40"/>
      <c r="FJ267" s="40"/>
      <c r="FK267" s="40"/>
      <c r="FL267" s="40"/>
      <c r="FM267" s="40"/>
      <c r="FN267" s="40"/>
      <c r="FO267" s="40"/>
      <c r="FP267" s="40"/>
      <c r="FQ267" s="40"/>
      <c r="FR267" s="40"/>
      <c r="FS267" s="40"/>
      <c r="FT267" s="40"/>
      <c r="FU267" s="40"/>
      <c r="FV267" s="40"/>
    </row>
    <row r="268" spans="22:178" s="34" customFormat="1">
      <c r="V268" s="40"/>
      <c r="DK268" s="40"/>
      <c r="DL268" s="40"/>
      <c r="DM268" s="40"/>
      <c r="DN268" s="40"/>
      <c r="DO268" s="40"/>
      <c r="DP268" s="40"/>
      <c r="DQ268" s="40"/>
      <c r="DR268" s="40"/>
      <c r="DS268" s="40"/>
      <c r="DT268" s="40"/>
      <c r="DU268" s="40"/>
      <c r="DV268" s="40"/>
      <c r="DW268" s="40"/>
      <c r="DX268" s="40"/>
      <c r="DY268" s="40"/>
      <c r="DZ268" s="40"/>
      <c r="EA268" s="40"/>
      <c r="EB268" s="40"/>
      <c r="EC268" s="40"/>
      <c r="ED268" s="40"/>
      <c r="EE268" s="40"/>
      <c r="EF268" s="40"/>
      <c r="EG268" s="40"/>
      <c r="EH268" s="40"/>
      <c r="EI268" s="40"/>
      <c r="EJ268" s="40"/>
      <c r="EK268" s="40"/>
      <c r="EL268" s="40"/>
      <c r="EM268" s="40"/>
      <c r="EN268" s="40"/>
      <c r="EO268" s="40"/>
      <c r="EP268" s="40"/>
      <c r="EQ268" s="40"/>
      <c r="ER268" s="40"/>
      <c r="ES268" s="40"/>
      <c r="ET268" s="40"/>
      <c r="EU268" s="40"/>
      <c r="EV268" s="40"/>
      <c r="EW268" s="40"/>
      <c r="EX268" s="40"/>
      <c r="EY268" s="40"/>
      <c r="EZ268" s="40"/>
      <c r="FA268" s="40"/>
      <c r="FB268" s="40"/>
      <c r="FC268" s="40"/>
      <c r="FD268" s="40"/>
      <c r="FE268" s="40"/>
      <c r="FF268" s="40"/>
      <c r="FG268" s="40"/>
      <c r="FH268" s="40"/>
      <c r="FI268" s="40"/>
      <c r="FJ268" s="40"/>
      <c r="FK268" s="40"/>
      <c r="FL268" s="40"/>
      <c r="FM268" s="40"/>
      <c r="FN268" s="40"/>
      <c r="FO268" s="40"/>
      <c r="FP268" s="40"/>
      <c r="FQ268" s="40"/>
      <c r="FR268" s="40"/>
      <c r="FS268" s="40"/>
      <c r="FT268" s="40"/>
      <c r="FU268" s="40"/>
      <c r="FV268" s="40"/>
    </row>
    <row r="269" spans="22:178" s="34" customFormat="1">
      <c r="V269" s="40"/>
      <c r="DK269" s="40"/>
      <c r="DL269" s="40"/>
      <c r="DM269" s="40"/>
      <c r="DN269" s="40"/>
      <c r="DO269" s="40"/>
      <c r="DP269" s="40"/>
      <c r="DQ269" s="40"/>
      <c r="DR269" s="40"/>
      <c r="DS269" s="40"/>
      <c r="DT269" s="40"/>
      <c r="DU269" s="40"/>
      <c r="DV269" s="40"/>
      <c r="DW269" s="40"/>
      <c r="DX269" s="40"/>
      <c r="DY269" s="40"/>
      <c r="DZ269" s="40"/>
      <c r="EA269" s="40"/>
      <c r="EB269" s="40"/>
      <c r="EC269" s="40"/>
      <c r="ED269" s="40"/>
      <c r="EE269" s="40"/>
      <c r="EF269" s="40"/>
      <c r="EG269" s="40"/>
      <c r="EH269" s="40"/>
      <c r="EI269" s="40"/>
      <c r="EJ269" s="40"/>
      <c r="EK269" s="40"/>
      <c r="EL269" s="40"/>
      <c r="EM269" s="40"/>
      <c r="EN269" s="40"/>
      <c r="EO269" s="40"/>
      <c r="EP269" s="40"/>
      <c r="EQ269" s="40"/>
      <c r="ER269" s="40"/>
      <c r="ES269" s="40"/>
      <c r="ET269" s="40"/>
      <c r="EU269" s="40"/>
      <c r="EV269" s="40"/>
      <c r="EW269" s="40"/>
      <c r="EX269" s="40"/>
      <c r="EY269" s="40"/>
      <c r="EZ269" s="40"/>
      <c r="FA269" s="40"/>
      <c r="FB269" s="40"/>
      <c r="FC269" s="40"/>
      <c r="FD269" s="40"/>
      <c r="FE269" s="40"/>
      <c r="FF269" s="40"/>
      <c r="FG269" s="40"/>
      <c r="FH269" s="40"/>
      <c r="FI269" s="40"/>
      <c r="FJ269" s="40"/>
      <c r="FK269" s="40"/>
      <c r="FL269" s="40"/>
      <c r="FM269" s="40"/>
      <c r="FN269" s="40"/>
      <c r="FO269" s="40"/>
      <c r="FP269" s="40"/>
      <c r="FQ269" s="40"/>
      <c r="FR269" s="40"/>
      <c r="FS269" s="40"/>
      <c r="FT269" s="40"/>
      <c r="FU269" s="40"/>
      <c r="FV269" s="40"/>
    </row>
    <row r="270" spans="22:178" s="34" customFormat="1">
      <c r="V270" s="40"/>
      <c r="DK270" s="40"/>
      <c r="DL270" s="40"/>
      <c r="DM270" s="40"/>
      <c r="DN270" s="40"/>
      <c r="DO270" s="40"/>
      <c r="DP270" s="40"/>
      <c r="DQ270" s="40"/>
      <c r="DR270" s="40"/>
      <c r="DS270" s="40"/>
      <c r="DT270" s="40"/>
      <c r="DU270" s="40"/>
      <c r="DV270" s="40"/>
      <c r="DW270" s="40"/>
      <c r="DX270" s="40"/>
      <c r="DY270" s="40"/>
      <c r="DZ270" s="40"/>
      <c r="EA270" s="40"/>
      <c r="EB270" s="40"/>
      <c r="EC270" s="40"/>
      <c r="ED270" s="40"/>
      <c r="EE270" s="40"/>
      <c r="EF270" s="40"/>
      <c r="EG270" s="40"/>
      <c r="EH270" s="40"/>
      <c r="EI270" s="40"/>
      <c r="EJ270" s="40"/>
      <c r="EK270" s="40"/>
      <c r="EL270" s="40"/>
      <c r="EM270" s="40"/>
      <c r="EN270" s="40"/>
      <c r="EO270" s="40"/>
      <c r="EP270" s="40"/>
      <c r="EQ270" s="40"/>
      <c r="ER270" s="40"/>
      <c r="ES270" s="40"/>
      <c r="ET270" s="40"/>
      <c r="EU270" s="40"/>
      <c r="EV270" s="40"/>
      <c r="EW270" s="40"/>
      <c r="EX270" s="40"/>
      <c r="EY270" s="40"/>
      <c r="EZ270" s="40"/>
      <c r="FA270" s="40"/>
      <c r="FB270" s="40"/>
      <c r="FC270" s="40"/>
      <c r="FD270" s="40"/>
      <c r="FE270" s="40"/>
      <c r="FF270" s="40"/>
      <c r="FG270" s="40"/>
      <c r="FH270" s="40"/>
      <c r="FI270" s="40"/>
      <c r="FJ270" s="40"/>
      <c r="FK270" s="40"/>
      <c r="FL270" s="40"/>
      <c r="FM270" s="40"/>
      <c r="FN270" s="40"/>
      <c r="FO270" s="40"/>
      <c r="FP270" s="40"/>
      <c r="FQ270" s="40"/>
      <c r="FR270" s="40"/>
      <c r="FS270" s="40"/>
      <c r="FT270" s="40"/>
      <c r="FU270" s="40"/>
      <c r="FV270" s="40"/>
    </row>
    <row r="271" spans="22:178" s="34" customFormat="1">
      <c r="V271" s="40"/>
      <c r="DK271" s="40"/>
      <c r="DL271" s="40"/>
      <c r="DM271" s="40"/>
      <c r="DN271" s="40"/>
      <c r="DO271" s="40"/>
      <c r="DP271" s="40"/>
      <c r="DQ271" s="40"/>
      <c r="DR271" s="40"/>
      <c r="DS271" s="40"/>
      <c r="DT271" s="40"/>
      <c r="DU271" s="40"/>
      <c r="DV271" s="40"/>
      <c r="DW271" s="40"/>
      <c r="DX271" s="40"/>
      <c r="DY271" s="40"/>
      <c r="DZ271" s="40"/>
      <c r="EA271" s="40"/>
      <c r="EB271" s="40"/>
      <c r="EC271" s="40"/>
      <c r="ED271" s="40"/>
      <c r="EE271" s="40"/>
      <c r="EF271" s="40"/>
      <c r="EG271" s="40"/>
      <c r="EH271" s="40"/>
      <c r="EI271" s="40"/>
      <c r="EJ271" s="40"/>
      <c r="EK271" s="40"/>
      <c r="EL271" s="40"/>
      <c r="EM271" s="40"/>
      <c r="EN271" s="40"/>
      <c r="EO271" s="40"/>
      <c r="EP271" s="40"/>
      <c r="EQ271" s="40"/>
      <c r="ER271" s="40"/>
      <c r="ES271" s="40"/>
      <c r="ET271" s="40"/>
      <c r="EU271" s="40"/>
      <c r="EV271" s="40"/>
      <c r="EW271" s="40"/>
      <c r="EX271" s="40"/>
      <c r="EY271" s="40"/>
      <c r="EZ271" s="40"/>
      <c r="FA271" s="40"/>
      <c r="FB271" s="40"/>
      <c r="FC271" s="40"/>
      <c r="FD271" s="40"/>
      <c r="FE271" s="40"/>
      <c r="FF271" s="40"/>
      <c r="FG271" s="40"/>
      <c r="FH271" s="40"/>
      <c r="FI271" s="40"/>
      <c r="FJ271" s="40"/>
      <c r="FK271" s="40"/>
      <c r="FL271" s="40"/>
      <c r="FM271" s="40"/>
      <c r="FN271" s="40"/>
      <c r="FO271" s="40"/>
      <c r="FP271" s="40"/>
      <c r="FQ271" s="40"/>
      <c r="FR271" s="40"/>
      <c r="FS271" s="40"/>
      <c r="FT271" s="40"/>
      <c r="FU271" s="40"/>
      <c r="FV271" s="40"/>
    </row>
    <row r="272" spans="22:178" s="34" customFormat="1">
      <c r="V272" s="40"/>
      <c r="DK272" s="40"/>
      <c r="DL272" s="40"/>
      <c r="DM272" s="40"/>
      <c r="DN272" s="40"/>
      <c r="DO272" s="40"/>
      <c r="DP272" s="40"/>
      <c r="DQ272" s="40"/>
      <c r="DR272" s="40"/>
      <c r="DS272" s="40"/>
      <c r="DT272" s="40"/>
      <c r="DU272" s="40"/>
      <c r="DV272" s="40"/>
      <c r="DW272" s="40"/>
      <c r="DX272" s="40"/>
      <c r="DY272" s="40"/>
      <c r="DZ272" s="40"/>
      <c r="EA272" s="40"/>
      <c r="EB272" s="40"/>
      <c r="EC272" s="40"/>
      <c r="ED272" s="40"/>
      <c r="EE272" s="40"/>
      <c r="EF272" s="40"/>
      <c r="EG272" s="40"/>
      <c r="EH272" s="40"/>
      <c r="EI272" s="40"/>
      <c r="EJ272" s="40"/>
      <c r="EK272" s="40"/>
      <c r="EL272" s="40"/>
      <c r="EM272" s="40"/>
      <c r="EN272" s="40"/>
      <c r="EO272" s="40"/>
      <c r="EP272" s="40"/>
      <c r="EQ272" s="40"/>
      <c r="ER272" s="40"/>
      <c r="ES272" s="40"/>
      <c r="ET272" s="40"/>
      <c r="EU272" s="40"/>
      <c r="EV272" s="40"/>
      <c r="EW272" s="40"/>
      <c r="EX272" s="40"/>
      <c r="EY272" s="40"/>
      <c r="EZ272" s="40"/>
      <c r="FA272" s="40"/>
      <c r="FB272" s="40"/>
      <c r="FC272" s="40"/>
      <c r="FD272" s="40"/>
      <c r="FE272" s="40"/>
      <c r="FF272" s="40"/>
      <c r="FG272" s="40"/>
      <c r="FH272" s="40"/>
      <c r="FI272" s="40"/>
      <c r="FJ272" s="40"/>
      <c r="FK272" s="40"/>
      <c r="FL272" s="40"/>
      <c r="FM272" s="40"/>
      <c r="FN272" s="40"/>
      <c r="FO272" s="40"/>
      <c r="FP272" s="40"/>
      <c r="FQ272" s="40"/>
      <c r="FR272" s="40"/>
      <c r="FS272" s="40"/>
      <c r="FT272" s="40"/>
      <c r="FU272" s="40"/>
      <c r="FV272" s="40"/>
    </row>
    <row r="273" spans="22:178" s="34" customFormat="1">
      <c r="V273" s="40"/>
      <c r="DK273" s="40"/>
      <c r="DL273" s="40"/>
      <c r="DM273" s="40"/>
      <c r="DN273" s="40"/>
      <c r="DO273" s="40"/>
      <c r="DP273" s="40"/>
      <c r="DQ273" s="40"/>
      <c r="DR273" s="40"/>
      <c r="DS273" s="40"/>
      <c r="DT273" s="40"/>
      <c r="DU273" s="40"/>
      <c r="DV273" s="40"/>
      <c r="DW273" s="40"/>
      <c r="DX273" s="40"/>
      <c r="DY273" s="40"/>
      <c r="DZ273" s="40"/>
      <c r="EA273" s="40"/>
      <c r="EB273" s="40"/>
      <c r="EC273" s="40"/>
      <c r="ED273" s="40"/>
      <c r="EE273" s="40"/>
      <c r="EF273" s="40"/>
      <c r="EG273" s="40"/>
      <c r="EH273" s="40"/>
      <c r="EI273" s="40"/>
      <c r="EJ273" s="40"/>
      <c r="EK273" s="40"/>
      <c r="EL273" s="40"/>
      <c r="EM273" s="40"/>
      <c r="EN273" s="40"/>
      <c r="EO273" s="40"/>
      <c r="EP273" s="40"/>
      <c r="EQ273" s="40"/>
      <c r="ER273" s="40"/>
      <c r="ES273" s="40"/>
      <c r="ET273" s="40"/>
      <c r="EU273" s="40"/>
      <c r="EV273" s="40"/>
      <c r="EW273" s="40"/>
      <c r="EX273" s="40"/>
      <c r="EY273" s="40"/>
      <c r="EZ273" s="40"/>
      <c r="FA273" s="40"/>
      <c r="FB273" s="40"/>
      <c r="FC273" s="40"/>
      <c r="FD273" s="40"/>
      <c r="FE273" s="40"/>
      <c r="FF273" s="40"/>
      <c r="FG273" s="40"/>
      <c r="FH273" s="40"/>
      <c r="FI273" s="40"/>
      <c r="FJ273" s="40"/>
      <c r="FK273" s="40"/>
      <c r="FL273" s="40"/>
      <c r="FM273" s="40"/>
      <c r="FN273" s="40"/>
      <c r="FO273" s="40"/>
      <c r="FP273" s="40"/>
      <c r="FQ273" s="40"/>
      <c r="FR273" s="40"/>
      <c r="FS273" s="40"/>
      <c r="FT273" s="40"/>
      <c r="FU273" s="40"/>
      <c r="FV273" s="40"/>
    </row>
    <row r="274" spans="22:178" s="34" customFormat="1">
      <c r="V274" s="40"/>
      <c r="DK274" s="40"/>
      <c r="DL274" s="40"/>
      <c r="DM274" s="40"/>
      <c r="DN274" s="40"/>
      <c r="DO274" s="40"/>
      <c r="DP274" s="40"/>
      <c r="DQ274" s="40"/>
      <c r="DR274" s="40"/>
      <c r="DS274" s="40"/>
      <c r="DT274" s="40"/>
      <c r="DU274" s="40"/>
      <c r="DV274" s="40"/>
      <c r="DW274" s="40"/>
      <c r="DX274" s="40"/>
      <c r="DY274" s="40"/>
      <c r="DZ274" s="40"/>
      <c r="EA274" s="40"/>
      <c r="EB274" s="40"/>
      <c r="EC274" s="40"/>
      <c r="ED274" s="40"/>
      <c r="EE274" s="40"/>
      <c r="EF274" s="40"/>
      <c r="EG274" s="40"/>
      <c r="EH274" s="40"/>
      <c r="EI274" s="40"/>
      <c r="EJ274" s="40"/>
      <c r="EK274" s="40"/>
      <c r="EL274" s="40"/>
      <c r="EM274" s="40"/>
      <c r="EN274" s="40"/>
      <c r="EO274" s="40"/>
      <c r="EP274" s="40"/>
      <c r="EQ274" s="40"/>
      <c r="ER274" s="40"/>
      <c r="ES274" s="40"/>
      <c r="ET274" s="40"/>
      <c r="EU274" s="40"/>
      <c r="EV274" s="40"/>
      <c r="EW274" s="40"/>
      <c r="EX274" s="40"/>
      <c r="EY274" s="40"/>
      <c r="EZ274" s="40"/>
      <c r="FA274" s="40"/>
      <c r="FB274" s="40"/>
      <c r="FC274" s="40"/>
      <c r="FD274" s="40"/>
      <c r="FE274" s="40"/>
      <c r="FF274" s="40"/>
      <c r="FG274" s="40"/>
      <c r="FH274" s="40"/>
      <c r="FI274" s="40"/>
      <c r="FJ274" s="40"/>
      <c r="FK274" s="40"/>
      <c r="FL274" s="40"/>
      <c r="FM274" s="40"/>
      <c r="FN274" s="40"/>
      <c r="FO274" s="40"/>
      <c r="FP274" s="40"/>
      <c r="FQ274" s="40"/>
      <c r="FR274" s="40"/>
      <c r="FS274" s="40"/>
      <c r="FT274" s="40"/>
      <c r="FU274" s="40"/>
      <c r="FV274" s="40"/>
    </row>
    <row r="275" spans="22:178" s="34" customFormat="1">
      <c r="V275" s="40"/>
      <c r="DK275" s="40"/>
      <c r="DL275" s="40"/>
      <c r="DM275" s="40"/>
      <c r="DN275" s="40"/>
      <c r="DO275" s="40"/>
      <c r="DP275" s="40"/>
      <c r="DQ275" s="40"/>
      <c r="DR275" s="40"/>
      <c r="DS275" s="40"/>
      <c r="DT275" s="40"/>
      <c r="DU275" s="40"/>
      <c r="DV275" s="40"/>
      <c r="DW275" s="40"/>
      <c r="DX275" s="40"/>
      <c r="DY275" s="40"/>
      <c r="DZ275" s="40"/>
      <c r="EA275" s="40"/>
      <c r="EB275" s="40"/>
      <c r="EC275" s="40"/>
      <c r="ED275" s="40"/>
      <c r="EE275" s="40"/>
      <c r="EF275" s="40"/>
      <c r="EG275" s="40"/>
      <c r="EH275" s="40"/>
      <c r="EI275" s="40"/>
      <c r="EJ275" s="40"/>
      <c r="EK275" s="40"/>
      <c r="EL275" s="40"/>
      <c r="EM275" s="40"/>
      <c r="EN275" s="40"/>
      <c r="EO275" s="40"/>
      <c r="EP275" s="40"/>
      <c r="EQ275" s="40"/>
      <c r="ER275" s="40"/>
      <c r="ES275" s="40"/>
      <c r="ET275" s="40"/>
      <c r="EU275" s="40"/>
      <c r="EV275" s="40"/>
      <c r="EW275" s="40"/>
      <c r="EX275" s="40"/>
      <c r="EY275" s="40"/>
      <c r="EZ275" s="40"/>
      <c r="FA275" s="40"/>
      <c r="FB275" s="40"/>
      <c r="FC275" s="40"/>
      <c r="FD275" s="40"/>
      <c r="FE275" s="40"/>
      <c r="FF275" s="40"/>
      <c r="FG275" s="40"/>
      <c r="FH275" s="40"/>
      <c r="FI275" s="40"/>
      <c r="FJ275" s="40"/>
      <c r="FK275" s="40"/>
      <c r="FL275" s="40"/>
      <c r="FM275" s="40"/>
      <c r="FN275" s="40"/>
      <c r="FO275" s="40"/>
      <c r="FP275" s="40"/>
      <c r="FQ275" s="40"/>
      <c r="FR275" s="40"/>
      <c r="FS275" s="40"/>
      <c r="FT275" s="40"/>
      <c r="FU275" s="40"/>
      <c r="FV275" s="40"/>
    </row>
    <row r="276" spans="22:178" s="34" customFormat="1">
      <c r="V276" s="40"/>
      <c r="DK276" s="40"/>
      <c r="DL276" s="40"/>
      <c r="DM276" s="40"/>
      <c r="DN276" s="40"/>
      <c r="DO276" s="40"/>
      <c r="DP276" s="40"/>
      <c r="DQ276" s="40"/>
      <c r="DR276" s="40"/>
      <c r="DS276" s="40"/>
      <c r="DT276" s="40"/>
      <c r="DU276" s="40"/>
      <c r="DV276" s="40"/>
      <c r="DW276" s="40"/>
      <c r="DX276" s="40"/>
      <c r="DY276" s="40"/>
      <c r="DZ276" s="40"/>
      <c r="EA276" s="40"/>
      <c r="EB276" s="40"/>
      <c r="EC276" s="40"/>
      <c r="ED276" s="40"/>
      <c r="EE276" s="40"/>
      <c r="EF276" s="40"/>
      <c r="EG276" s="40"/>
      <c r="EH276" s="40"/>
      <c r="EI276" s="40"/>
      <c r="EJ276" s="40"/>
      <c r="EK276" s="40"/>
      <c r="EL276" s="40"/>
      <c r="EM276" s="40"/>
      <c r="EN276" s="40"/>
      <c r="EO276" s="40"/>
      <c r="EP276" s="40"/>
      <c r="EQ276" s="40"/>
      <c r="ER276" s="40"/>
      <c r="ES276" s="40"/>
      <c r="ET276" s="40"/>
      <c r="EU276" s="40"/>
      <c r="EV276" s="40"/>
      <c r="EW276" s="40"/>
      <c r="EX276" s="40"/>
      <c r="EY276" s="40"/>
      <c r="EZ276" s="40"/>
      <c r="FA276" s="40"/>
      <c r="FB276" s="40"/>
      <c r="FC276" s="40"/>
      <c r="FD276" s="40"/>
      <c r="FE276" s="40"/>
      <c r="FF276" s="40"/>
      <c r="FG276" s="40"/>
      <c r="FH276" s="40"/>
      <c r="FI276" s="40"/>
      <c r="FJ276" s="40"/>
      <c r="FK276" s="40"/>
      <c r="FL276" s="40"/>
      <c r="FM276" s="40"/>
      <c r="FN276" s="40"/>
      <c r="FO276" s="40"/>
      <c r="FP276" s="40"/>
      <c r="FQ276" s="40"/>
      <c r="FR276" s="40"/>
      <c r="FS276" s="40"/>
      <c r="FT276" s="40"/>
      <c r="FU276" s="40"/>
      <c r="FV276" s="40"/>
    </row>
    <row r="277" spans="22:178" s="34" customFormat="1">
      <c r="V277" s="40"/>
      <c r="DK277" s="40"/>
      <c r="DL277" s="40"/>
      <c r="DM277" s="40"/>
      <c r="DN277" s="40"/>
      <c r="DO277" s="40"/>
      <c r="DP277" s="40"/>
      <c r="DQ277" s="40"/>
      <c r="DR277" s="40"/>
      <c r="DS277" s="40"/>
      <c r="DT277" s="40"/>
      <c r="DU277" s="40"/>
      <c r="DV277" s="40"/>
      <c r="DW277" s="40"/>
      <c r="DX277" s="40"/>
      <c r="DY277" s="40"/>
      <c r="DZ277" s="40"/>
      <c r="EA277" s="40"/>
      <c r="EB277" s="40"/>
      <c r="EC277" s="40"/>
      <c r="ED277" s="40"/>
      <c r="EE277" s="40"/>
      <c r="EF277" s="40"/>
      <c r="EG277" s="40"/>
      <c r="EH277" s="40"/>
      <c r="EI277" s="40"/>
      <c r="EJ277" s="40"/>
      <c r="EK277" s="40"/>
      <c r="EL277" s="40"/>
      <c r="EM277" s="40"/>
      <c r="EN277" s="40"/>
      <c r="EO277" s="40"/>
      <c r="EP277" s="40"/>
      <c r="EQ277" s="40"/>
      <c r="ER277" s="40"/>
      <c r="ES277" s="40"/>
      <c r="ET277" s="40"/>
      <c r="EU277" s="40"/>
      <c r="EV277" s="40"/>
      <c r="EW277" s="40"/>
      <c r="EX277" s="40"/>
      <c r="EY277" s="40"/>
      <c r="EZ277" s="40"/>
      <c r="FA277" s="40"/>
      <c r="FB277" s="40"/>
      <c r="FC277" s="40"/>
      <c r="FD277" s="40"/>
      <c r="FE277" s="40"/>
      <c r="FF277" s="40"/>
      <c r="FG277" s="40"/>
      <c r="FH277" s="40"/>
      <c r="FI277" s="40"/>
      <c r="FJ277" s="40"/>
      <c r="FK277" s="40"/>
      <c r="FL277" s="40"/>
      <c r="FM277" s="40"/>
      <c r="FN277" s="40"/>
      <c r="FO277" s="40"/>
      <c r="FP277" s="40"/>
      <c r="FQ277" s="40"/>
      <c r="FR277" s="40"/>
      <c r="FS277" s="40"/>
      <c r="FT277" s="40"/>
      <c r="FU277" s="40"/>
      <c r="FV277" s="40"/>
    </row>
    <row r="278" spans="22:178" s="34" customFormat="1">
      <c r="V278" s="40"/>
      <c r="DK278" s="40"/>
      <c r="DL278" s="40"/>
      <c r="DM278" s="40"/>
      <c r="DN278" s="40"/>
      <c r="DO278" s="40"/>
      <c r="DP278" s="40"/>
      <c r="DQ278" s="40"/>
      <c r="DR278" s="40"/>
      <c r="DS278" s="40"/>
      <c r="DT278" s="40"/>
      <c r="DU278" s="40"/>
      <c r="DV278" s="40"/>
      <c r="DW278" s="40"/>
      <c r="DX278" s="40"/>
      <c r="DY278" s="40"/>
      <c r="DZ278" s="40"/>
      <c r="EA278" s="40"/>
      <c r="EB278" s="40"/>
      <c r="EC278" s="40"/>
      <c r="ED278" s="40"/>
      <c r="EE278" s="40"/>
      <c r="EF278" s="40"/>
      <c r="EG278" s="40"/>
      <c r="EH278" s="40"/>
      <c r="EI278" s="40"/>
      <c r="EJ278" s="40"/>
      <c r="EK278" s="40"/>
      <c r="EL278" s="40"/>
      <c r="EM278" s="40"/>
      <c r="EN278" s="40"/>
      <c r="EO278" s="40"/>
      <c r="EP278" s="40"/>
      <c r="EQ278" s="40"/>
      <c r="ER278" s="40"/>
      <c r="ES278" s="40"/>
      <c r="ET278" s="40"/>
      <c r="EU278" s="40"/>
      <c r="EV278" s="40"/>
      <c r="EW278" s="40"/>
      <c r="EX278" s="40"/>
      <c r="EY278" s="40"/>
      <c r="EZ278" s="40"/>
      <c r="FA278" s="40"/>
      <c r="FB278" s="40"/>
      <c r="FC278" s="40"/>
      <c r="FD278" s="40"/>
      <c r="FE278" s="40"/>
      <c r="FF278" s="40"/>
      <c r="FG278" s="40"/>
      <c r="FH278" s="40"/>
      <c r="FI278" s="40"/>
      <c r="FJ278" s="40"/>
      <c r="FK278" s="40"/>
      <c r="FL278" s="40"/>
      <c r="FM278" s="40"/>
      <c r="FN278" s="40"/>
      <c r="FO278" s="40"/>
      <c r="FP278" s="40"/>
      <c r="FQ278" s="40"/>
      <c r="FR278" s="40"/>
      <c r="FS278" s="40"/>
      <c r="FT278" s="40"/>
      <c r="FU278" s="40"/>
      <c r="FV278" s="40"/>
    </row>
    <row r="279" spans="22:178" s="34" customFormat="1">
      <c r="V279" s="40"/>
      <c r="DK279" s="40"/>
      <c r="DL279" s="40"/>
      <c r="DM279" s="40"/>
      <c r="DN279" s="40"/>
      <c r="DO279" s="40"/>
      <c r="DP279" s="40"/>
      <c r="DQ279" s="40"/>
      <c r="DR279" s="40"/>
      <c r="DS279" s="40"/>
      <c r="DT279" s="40"/>
      <c r="DU279" s="40"/>
      <c r="DV279" s="40"/>
      <c r="DW279" s="40"/>
      <c r="DX279" s="40"/>
      <c r="DY279" s="40"/>
      <c r="DZ279" s="40"/>
      <c r="EA279" s="40"/>
      <c r="EB279" s="40"/>
      <c r="EC279" s="40"/>
      <c r="ED279" s="40"/>
      <c r="EE279" s="40"/>
      <c r="EF279" s="40"/>
      <c r="EG279" s="40"/>
      <c r="EH279" s="40"/>
      <c r="EI279" s="40"/>
      <c r="EJ279" s="40"/>
      <c r="EK279" s="40"/>
      <c r="EL279" s="40"/>
      <c r="EM279" s="40"/>
      <c r="EN279" s="40"/>
      <c r="EO279" s="40"/>
      <c r="EP279" s="40"/>
      <c r="EQ279" s="40"/>
      <c r="ER279" s="40"/>
      <c r="ES279" s="40"/>
      <c r="ET279" s="40"/>
      <c r="EU279" s="40"/>
      <c r="EV279" s="40"/>
      <c r="EW279" s="40"/>
      <c r="EX279" s="40"/>
      <c r="EY279" s="40"/>
      <c r="EZ279" s="40"/>
      <c r="FA279" s="40"/>
      <c r="FB279" s="40"/>
      <c r="FC279" s="40"/>
      <c r="FD279" s="40"/>
      <c r="FE279" s="40"/>
      <c r="FF279" s="40"/>
      <c r="FG279" s="40"/>
      <c r="FH279" s="40"/>
      <c r="FI279" s="40"/>
      <c r="FJ279" s="40"/>
      <c r="FK279" s="40"/>
      <c r="FL279" s="40"/>
      <c r="FM279" s="40"/>
      <c r="FN279" s="40"/>
      <c r="FO279" s="40"/>
      <c r="FP279" s="40"/>
      <c r="FQ279" s="40"/>
      <c r="FR279" s="40"/>
      <c r="FS279" s="40"/>
      <c r="FT279" s="40"/>
      <c r="FU279" s="40"/>
      <c r="FV279" s="40"/>
    </row>
    <row r="280" spans="22:178" s="34" customFormat="1">
      <c r="V280" s="40"/>
      <c r="DK280" s="40"/>
      <c r="DL280" s="40"/>
      <c r="DM280" s="40"/>
      <c r="DN280" s="40"/>
      <c r="DO280" s="40"/>
      <c r="DP280" s="40"/>
      <c r="DQ280" s="40"/>
      <c r="DR280" s="40"/>
      <c r="DS280" s="40"/>
      <c r="DT280" s="40"/>
      <c r="DU280" s="40"/>
      <c r="DV280" s="40"/>
      <c r="DW280" s="40"/>
      <c r="DX280" s="40"/>
      <c r="DY280" s="40"/>
      <c r="DZ280" s="40"/>
      <c r="EA280" s="40"/>
      <c r="EB280" s="40"/>
      <c r="EC280" s="40"/>
      <c r="ED280" s="40"/>
      <c r="EE280" s="40"/>
      <c r="EF280" s="40"/>
      <c r="EG280" s="40"/>
      <c r="EH280" s="40"/>
      <c r="EI280" s="40"/>
      <c r="EJ280" s="40"/>
      <c r="EK280" s="40"/>
      <c r="EL280" s="40"/>
      <c r="EM280" s="40"/>
      <c r="EN280" s="40"/>
      <c r="EO280" s="40"/>
      <c r="EP280" s="40"/>
      <c r="EQ280" s="40"/>
      <c r="ER280" s="40"/>
      <c r="ES280" s="40"/>
      <c r="ET280" s="40"/>
      <c r="EU280" s="40"/>
      <c r="EV280" s="40"/>
      <c r="EW280" s="40"/>
      <c r="EX280" s="40"/>
      <c r="EY280" s="40"/>
      <c r="EZ280" s="40"/>
      <c r="FA280" s="40"/>
      <c r="FB280" s="40"/>
      <c r="FC280" s="40"/>
      <c r="FD280" s="40"/>
      <c r="FE280" s="40"/>
      <c r="FF280" s="40"/>
      <c r="FG280" s="40"/>
      <c r="FH280" s="40"/>
      <c r="FI280" s="40"/>
      <c r="FJ280" s="40"/>
      <c r="FK280" s="40"/>
      <c r="FL280" s="40"/>
      <c r="FM280" s="40"/>
      <c r="FN280" s="40"/>
      <c r="FO280" s="40"/>
      <c r="FP280" s="40"/>
      <c r="FQ280" s="40"/>
      <c r="FR280" s="40"/>
      <c r="FS280" s="40"/>
      <c r="FT280" s="40"/>
      <c r="FU280" s="40"/>
      <c r="FV280" s="40"/>
    </row>
    <row r="281" spans="22:178" s="34" customFormat="1">
      <c r="V281" s="40"/>
      <c r="DK281" s="40"/>
      <c r="DL281" s="40"/>
      <c r="DM281" s="40"/>
      <c r="DN281" s="40"/>
      <c r="DO281" s="40"/>
      <c r="DP281" s="40"/>
      <c r="DQ281" s="40"/>
      <c r="DR281" s="40"/>
      <c r="DS281" s="40"/>
      <c r="DT281" s="40"/>
      <c r="DU281" s="40"/>
      <c r="DV281" s="40"/>
      <c r="DW281" s="40"/>
      <c r="DX281" s="40"/>
      <c r="DY281" s="40"/>
      <c r="DZ281" s="40"/>
      <c r="EA281" s="40"/>
      <c r="EB281" s="40"/>
      <c r="EC281" s="40"/>
      <c r="ED281" s="40"/>
      <c r="EE281" s="40"/>
      <c r="EF281" s="40"/>
      <c r="EG281" s="40"/>
      <c r="EH281" s="40"/>
      <c r="EI281" s="40"/>
      <c r="EJ281" s="40"/>
      <c r="EK281" s="40"/>
      <c r="EL281" s="40"/>
      <c r="EM281" s="40"/>
      <c r="EN281" s="40"/>
      <c r="EO281" s="40"/>
      <c r="EP281" s="40"/>
      <c r="EQ281" s="40"/>
      <c r="ER281" s="40"/>
      <c r="ES281" s="40"/>
      <c r="ET281" s="40"/>
      <c r="EU281" s="40"/>
      <c r="EV281" s="40"/>
      <c r="EW281" s="40"/>
      <c r="EX281" s="40"/>
      <c r="EY281" s="40"/>
      <c r="EZ281" s="40"/>
      <c r="FA281" s="40"/>
      <c r="FB281" s="40"/>
      <c r="FC281" s="40"/>
      <c r="FD281" s="40"/>
      <c r="FE281" s="40"/>
      <c r="FF281" s="40"/>
      <c r="FG281" s="40"/>
      <c r="FH281" s="40"/>
      <c r="FI281" s="40"/>
      <c r="FJ281" s="40"/>
      <c r="FK281" s="40"/>
      <c r="FL281" s="40"/>
      <c r="FM281" s="40"/>
      <c r="FN281" s="40"/>
      <c r="FO281" s="40"/>
      <c r="FP281" s="40"/>
      <c r="FQ281" s="40"/>
      <c r="FR281" s="40"/>
      <c r="FS281" s="40"/>
      <c r="FT281" s="40"/>
      <c r="FU281" s="40"/>
      <c r="FV281" s="40"/>
    </row>
    <row r="282" spans="22:178" s="34" customFormat="1">
      <c r="V282" s="40"/>
      <c r="DK282" s="40"/>
      <c r="DL282" s="40"/>
      <c r="DM282" s="40"/>
      <c r="DN282" s="40"/>
      <c r="DO282" s="40"/>
      <c r="DP282" s="40"/>
      <c r="DQ282" s="40"/>
      <c r="DR282" s="40"/>
      <c r="DS282" s="40"/>
      <c r="DT282" s="40"/>
      <c r="DU282" s="40"/>
      <c r="DV282" s="40"/>
      <c r="DW282" s="40"/>
      <c r="DX282" s="40"/>
      <c r="DY282" s="40"/>
      <c r="DZ282" s="40"/>
      <c r="EA282" s="40"/>
      <c r="EB282" s="40"/>
      <c r="EC282" s="40"/>
      <c r="ED282" s="40"/>
      <c r="EE282" s="40"/>
      <c r="EF282" s="40"/>
      <c r="EG282" s="40"/>
      <c r="EH282" s="40"/>
      <c r="EI282" s="40"/>
      <c r="EJ282" s="40"/>
      <c r="EK282" s="40"/>
      <c r="EL282" s="40"/>
      <c r="EM282" s="40"/>
      <c r="EN282" s="40"/>
      <c r="EO282" s="40"/>
      <c r="EP282" s="40"/>
      <c r="EQ282" s="40"/>
      <c r="ER282" s="40"/>
      <c r="ES282" s="40"/>
      <c r="ET282" s="40"/>
      <c r="EU282" s="40"/>
      <c r="EV282" s="40"/>
      <c r="EW282" s="40"/>
      <c r="EX282" s="40"/>
      <c r="EY282" s="40"/>
      <c r="EZ282" s="40"/>
      <c r="FA282" s="40"/>
      <c r="FB282" s="40"/>
      <c r="FC282" s="40"/>
      <c r="FD282" s="40"/>
      <c r="FE282" s="40"/>
      <c r="FF282" s="40"/>
      <c r="FG282" s="40"/>
      <c r="FH282" s="40"/>
      <c r="FI282" s="40"/>
      <c r="FJ282" s="40"/>
      <c r="FK282" s="40"/>
      <c r="FL282" s="40"/>
      <c r="FM282" s="40"/>
      <c r="FN282" s="40"/>
      <c r="FO282" s="40"/>
      <c r="FP282" s="40"/>
      <c r="FQ282" s="40"/>
      <c r="FR282" s="40"/>
      <c r="FS282" s="40"/>
      <c r="FT282" s="40"/>
      <c r="FU282" s="40"/>
      <c r="FV282" s="40"/>
    </row>
    <row r="283" spans="22:178" s="34" customFormat="1">
      <c r="V283" s="40"/>
      <c r="DK283" s="40"/>
      <c r="DL283" s="40"/>
      <c r="DM283" s="40"/>
      <c r="DN283" s="40"/>
      <c r="DO283" s="40"/>
      <c r="DP283" s="40"/>
      <c r="DQ283" s="40"/>
      <c r="DR283" s="40"/>
      <c r="DS283" s="40"/>
      <c r="DT283" s="40"/>
      <c r="DU283" s="40"/>
      <c r="DV283" s="40"/>
      <c r="DW283" s="40"/>
      <c r="DX283" s="40"/>
      <c r="DY283" s="40"/>
      <c r="DZ283" s="40"/>
      <c r="EA283" s="40"/>
      <c r="EB283" s="40"/>
      <c r="EC283" s="40"/>
      <c r="ED283" s="40"/>
      <c r="EE283" s="40"/>
      <c r="EF283" s="40"/>
      <c r="EG283" s="40"/>
      <c r="EH283" s="40"/>
      <c r="EI283" s="40"/>
      <c r="EJ283" s="40"/>
      <c r="EK283" s="40"/>
      <c r="EL283" s="40"/>
      <c r="EM283" s="40"/>
      <c r="EN283" s="40"/>
      <c r="EO283" s="40"/>
      <c r="EP283" s="40"/>
      <c r="EQ283" s="40"/>
      <c r="ER283" s="40"/>
      <c r="ES283" s="40"/>
      <c r="ET283" s="40"/>
      <c r="EU283" s="40"/>
      <c r="EV283" s="40"/>
      <c r="EW283" s="40"/>
      <c r="EX283" s="40"/>
      <c r="EY283" s="40"/>
      <c r="EZ283" s="40"/>
      <c r="FA283" s="40"/>
      <c r="FB283" s="40"/>
      <c r="FC283" s="40"/>
      <c r="FD283" s="40"/>
      <c r="FE283" s="40"/>
      <c r="FF283" s="40"/>
      <c r="FG283" s="40"/>
      <c r="FH283" s="40"/>
      <c r="FI283" s="40"/>
      <c r="FJ283" s="40"/>
      <c r="FK283" s="40"/>
      <c r="FL283" s="40"/>
      <c r="FM283" s="40"/>
      <c r="FN283" s="40"/>
      <c r="FO283" s="40"/>
      <c r="FP283" s="40"/>
      <c r="FQ283" s="40"/>
      <c r="FR283" s="40"/>
      <c r="FS283" s="40"/>
      <c r="FT283" s="40"/>
      <c r="FU283" s="40"/>
      <c r="FV283" s="40"/>
    </row>
    <row r="284" spans="22:178" s="34" customFormat="1">
      <c r="V284" s="40"/>
      <c r="DK284" s="40"/>
      <c r="DL284" s="40"/>
      <c r="DM284" s="40"/>
      <c r="DN284" s="40"/>
      <c r="DO284" s="40"/>
      <c r="DP284" s="40"/>
      <c r="DQ284" s="40"/>
      <c r="DR284" s="40"/>
      <c r="DS284" s="40"/>
      <c r="DT284" s="40"/>
      <c r="DU284" s="40"/>
      <c r="DV284" s="40"/>
      <c r="DW284" s="40"/>
      <c r="DX284" s="40"/>
      <c r="DY284" s="40"/>
      <c r="DZ284" s="40"/>
      <c r="EA284" s="40"/>
      <c r="EB284" s="40"/>
      <c r="EC284" s="40"/>
      <c r="ED284" s="40"/>
      <c r="EE284" s="40"/>
      <c r="EF284" s="40"/>
      <c r="EG284" s="40"/>
      <c r="EH284" s="40"/>
      <c r="EI284" s="40"/>
      <c r="EJ284" s="40"/>
      <c r="EK284" s="40"/>
      <c r="EL284" s="40"/>
      <c r="EM284" s="40"/>
      <c r="EN284" s="40"/>
      <c r="EO284" s="40"/>
      <c r="EP284" s="40"/>
      <c r="EQ284" s="40"/>
      <c r="ER284" s="40"/>
      <c r="ES284" s="40"/>
      <c r="ET284" s="40"/>
      <c r="EU284" s="40"/>
      <c r="EV284" s="40"/>
      <c r="EW284" s="40"/>
      <c r="EX284" s="40"/>
      <c r="EY284" s="40"/>
      <c r="EZ284" s="40"/>
      <c r="FA284" s="40"/>
      <c r="FB284" s="40"/>
      <c r="FC284" s="40"/>
      <c r="FD284" s="40"/>
      <c r="FE284" s="40"/>
      <c r="FF284" s="40"/>
      <c r="FG284" s="40"/>
      <c r="FH284" s="40"/>
      <c r="FI284" s="40"/>
      <c r="FJ284" s="40"/>
      <c r="FK284" s="40"/>
      <c r="FL284" s="40"/>
      <c r="FM284" s="40"/>
      <c r="FN284" s="40"/>
      <c r="FO284" s="40"/>
      <c r="FP284" s="40"/>
      <c r="FQ284" s="40"/>
      <c r="FR284" s="40"/>
      <c r="FS284" s="40"/>
      <c r="FT284" s="40"/>
      <c r="FU284" s="40"/>
      <c r="FV284" s="40"/>
    </row>
    <row r="285" spans="22:178" s="34" customFormat="1">
      <c r="V285" s="40"/>
      <c r="DK285" s="40"/>
      <c r="DL285" s="40"/>
      <c r="DM285" s="40"/>
      <c r="DN285" s="40"/>
      <c r="DO285" s="40"/>
      <c r="DP285" s="40"/>
      <c r="DQ285" s="40"/>
      <c r="DR285" s="40"/>
      <c r="DS285" s="40"/>
      <c r="DT285" s="40"/>
      <c r="DU285" s="40"/>
      <c r="DV285" s="40"/>
      <c r="DW285" s="40"/>
      <c r="DX285" s="40"/>
      <c r="DY285" s="40"/>
      <c r="DZ285" s="40"/>
      <c r="EA285" s="40"/>
      <c r="EB285" s="40"/>
      <c r="EC285" s="40"/>
      <c r="ED285" s="40"/>
      <c r="EE285" s="40"/>
      <c r="EF285" s="40"/>
      <c r="EG285" s="40"/>
      <c r="EH285" s="40"/>
      <c r="EI285" s="40"/>
      <c r="EJ285" s="40"/>
      <c r="EK285" s="40"/>
      <c r="EL285" s="40"/>
      <c r="EM285" s="40"/>
      <c r="EN285" s="40"/>
      <c r="EO285" s="40"/>
      <c r="EP285" s="40"/>
      <c r="EQ285" s="40"/>
      <c r="ER285" s="40"/>
      <c r="ES285" s="40"/>
      <c r="ET285" s="40"/>
      <c r="EU285" s="40"/>
      <c r="EV285" s="40"/>
      <c r="EW285" s="40"/>
      <c r="EX285" s="40"/>
      <c r="EY285" s="40"/>
      <c r="EZ285" s="40"/>
      <c r="FA285" s="40"/>
      <c r="FB285" s="40"/>
      <c r="FC285" s="40"/>
      <c r="FD285" s="40"/>
      <c r="FE285" s="40"/>
      <c r="FF285" s="40"/>
      <c r="FG285" s="40"/>
      <c r="FH285" s="40"/>
      <c r="FI285" s="40"/>
      <c r="FJ285" s="40"/>
      <c r="FK285" s="40"/>
      <c r="FL285" s="40"/>
      <c r="FM285" s="40"/>
      <c r="FN285" s="40"/>
      <c r="FO285" s="40"/>
      <c r="FP285" s="40"/>
      <c r="FQ285" s="40"/>
      <c r="FR285" s="40"/>
      <c r="FS285" s="40"/>
      <c r="FT285" s="40"/>
      <c r="FU285" s="40"/>
      <c r="FV285" s="40"/>
    </row>
    <row r="286" spans="22:178" s="34" customFormat="1">
      <c r="V286" s="40"/>
      <c r="DK286" s="40"/>
      <c r="DL286" s="40"/>
      <c r="DM286" s="40"/>
      <c r="DN286" s="40"/>
      <c r="DO286" s="40"/>
      <c r="DP286" s="40"/>
      <c r="DQ286" s="40"/>
      <c r="DR286" s="40"/>
      <c r="DS286" s="40"/>
      <c r="DT286" s="40"/>
      <c r="DU286" s="40"/>
      <c r="DV286" s="40"/>
      <c r="DW286" s="40"/>
      <c r="DX286" s="40"/>
      <c r="DY286" s="40"/>
      <c r="DZ286" s="40"/>
      <c r="EA286" s="40"/>
      <c r="EB286" s="40"/>
      <c r="EC286" s="40"/>
      <c r="ED286" s="40"/>
      <c r="EE286" s="40"/>
      <c r="EF286" s="40"/>
      <c r="EG286" s="40"/>
      <c r="EH286" s="40"/>
      <c r="EI286" s="40"/>
      <c r="EJ286" s="40"/>
      <c r="EK286" s="40"/>
      <c r="EL286" s="40"/>
      <c r="EM286" s="40"/>
      <c r="EN286" s="40"/>
      <c r="EO286" s="40"/>
      <c r="EP286" s="40"/>
      <c r="EQ286" s="40"/>
      <c r="ER286" s="40"/>
      <c r="ES286" s="40"/>
      <c r="ET286" s="40"/>
      <c r="EU286" s="40"/>
      <c r="EV286" s="40"/>
      <c r="EW286" s="40"/>
      <c r="EX286" s="40"/>
      <c r="EY286" s="40"/>
      <c r="EZ286" s="40"/>
      <c r="FA286" s="40"/>
      <c r="FB286" s="40"/>
      <c r="FC286" s="40"/>
      <c r="FD286" s="40"/>
      <c r="FE286" s="40"/>
      <c r="FF286" s="40"/>
      <c r="FG286" s="40"/>
      <c r="FH286" s="40"/>
      <c r="FI286" s="40"/>
      <c r="FJ286" s="40"/>
      <c r="FK286" s="40"/>
      <c r="FL286" s="40"/>
      <c r="FM286" s="40"/>
      <c r="FN286" s="40"/>
      <c r="FO286" s="40"/>
      <c r="FP286" s="40"/>
      <c r="FQ286" s="40"/>
      <c r="FR286" s="40"/>
      <c r="FS286" s="40"/>
      <c r="FT286" s="40"/>
      <c r="FU286" s="40"/>
      <c r="FV286" s="40"/>
    </row>
    <row r="287" spans="22:178" s="34" customFormat="1">
      <c r="V287" s="40"/>
      <c r="DK287" s="40"/>
      <c r="DL287" s="40"/>
      <c r="DM287" s="40"/>
      <c r="DN287" s="40"/>
      <c r="DO287" s="40"/>
      <c r="DP287" s="40"/>
      <c r="DQ287" s="40"/>
      <c r="DR287" s="40"/>
      <c r="DS287" s="40"/>
      <c r="DT287" s="40"/>
      <c r="DU287" s="40"/>
      <c r="DV287" s="40"/>
      <c r="DW287" s="40"/>
      <c r="DX287" s="40"/>
      <c r="DY287" s="40"/>
      <c r="DZ287" s="40"/>
      <c r="EA287" s="40"/>
      <c r="EB287" s="40"/>
      <c r="EC287" s="40"/>
      <c r="ED287" s="40"/>
      <c r="EE287" s="40"/>
      <c r="EF287" s="40"/>
      <c r="EG287" s="40"/>
      <c r="EH287" s="40"/>
      <c r="EI287" s="40"/>
      <c r="EJ287" s="40"/>
      <c r="EK287" s="40"/>
      <c r="EL287" s="40"/>
      <c r="EM287" s="40"/>
      <c r="EN287" s="40"/>
      <c r="EO287" s="40"/>
      <c r="EP287" s="40"/>
      <c r="EQ287" s="40"/>
      <c r="ER287" s="40"/>
      <c r="ES287" s="40"/>
      <c r="ET287" s="40"/>
      <c r="EU287" s="40"/>
      <c r="EV287" s="40"/>
      <c r="EW287" s="40"/>
      <c r="EX287" s="40"/>
      <c r="EY287" s="40"/>
      <c r="EZ287" s="40"/>
      <c r="FA287" s="40"/>
      <c r="FB287" s="40"/>
      <c r="FC287" s="40"/>
      <c r="FD287" s="40"/>
      <c r="FE287" s="40"/>
      <c r="FF287" s="40"/>
      <c r="FG287" s="40"/>
      <c r="FH287" s="40"/>
      <c r="FI287" s="40"/>
      <c r="FJ287" s="40"/>
      <c r="FK287" s="40"/>
      <c r="FL287" s="40"/>
      <c r="FM287" s="40"/>
      <c r="FN287" s="40"/>
      <c r="FO287" s="40"/>
      <c r="FP287" s="40"/>
      <c r="FQ287" s="40"/>
      <c r="FR287" s="40"/>
      <c r="FS287" s="40"/>
      <c r="FT287" s="40"/>
      <c r="FU287" s="40"/>
      <c r="FV287" s="40"/>
    </row>
    <row r="288" spans="22:178" s="34" customFormat="1">
      <c r="V288" s="40"/>
      <c r="DK288" s="40"/>
      <c r="DL288" s="40"/>
      <c r="DM288" s="40"/>
      <c r="DN288" s="40"/>
      <c r="DO288" s="40"/>
      <c r="DP288" s="40"/>
      <c r="DQ288" s="40"/>
      <c r="DR288" s="40"/>
      <c r="DS288" s="40"/>
      <c r="DT288" s="40"/>
      <c r="DU288" s="40"/>
      <c r="DV288" s="40"/>
      <c r="DW288" s="40"/>
      <c r="DX288" s="40"/>
      <c r="DY288" s="40"/>
      <c r="DZ288" s="40"/>
      <c r="EA288" s="40"/>
      <c r="EB288" s="40"/>
      <c r="EC288" s="40"/>
      <c r="ED288" s="40"/>
      <c r="EE288" s="40"/>
      <c r="EF288" s="40"/>
      <c r="EG288" s="40"/>
      <c r="EH288" s="40"/>
      <c r="EI288" s="40"/>
      <c r="EJ288" s="40"/>
      <c r="EK288" s="40"/>
      <c r="EL288" s="40"/>
      <c r="EM288" s="40"/>
      <c r="EN288" s="40"/>
      <c r="EO288" s="40"/>
      <c r="EP288" s="40"/>
      <c r="EQ288" s="40"/>
      <c r="ER288" s="40"/>
      <c r="ES288" s="40"/>
      <c r="ET288" s="40"/>
      <c r="EU288" s="40"/>
      <c r="EV288" s="40"/>
      <c r="EW288" s="40"/>
      <c r="EX288" s="40"/>
      <c r="EY288" s="40"/>
      <c r="EZ288" s="40"/>
      <c r="FA288" s="40"/>
      <c r="FB288" s="40"/>
      <c r="FC288" s="40"/>
      <c r="FD288" s="40"/>
      <c r="FE288" s="40"/>
      <c r="FF288" s="40"/>
      <c r="FG288" s="40"/>
      <c r="FH288" s="40"/>
      <c r="FI288" s="40"/>
      <c r="FJ288" s="40"/>
      <c r="FK288" s="40"/>
      <c r="FL288" s="40"/>
      <c r="FM288" s="40"/>
      <c r="FN288" s="40"/>
      <c r="FO288" s="40"/>
      <c r="FP288" s="40"/>
      <c r="FQ288" s="40"/>
      <c r="FR288" s="40"/>
      <c r="FS288" s="40"/>
      <c r="FT288" s="40"/>
      <c r="FU288" s="40"/>
      <c r="FV288" s="40"/>
    </row>
    <row r="289" spans="22:178" s="34" customFormat="1">
      <c r="V289" s="40"/>
      <c r="DK289" s="40"/>
      <c r="DL289" s="40"/>
      <c r="DM289" s="40"/>
      <c r="DN289" s="40"/>
      <c r="DO289" s="40"/>
      <c r="DP289" s="40"/>
      <c r="DQ289" s="40"/>
      <c r="DR289" s="40"/>
      <c r="DS289" s="40"/>
      <c r="DT289" s="40"/>
      <c r="DU289" s="40"/>
      <c r="DV289" s="40"/>
      <c r="DW289" s="40"/>
      <c r="DX289" s="40"/>
      <c r="DY289" s="40"/>
      <c r="DZ289" s="40"/>
      <c r="EA289" s="40"/>
      <c r="EB289" s="40"/>
      <c r="EC289" s="40"/>
      <c r="ED289" s="40"/>
      <c r="EE289" s="40"/>
      <c r="EF289" s="40"/>
      <c r="EG289" s="40"/>
      <c r="EH289" s="40"/>
      <c r="EI289" s="40"/>
      <c r="EJ289" s="40"/>
      <c r="EK289" s="40"/>
      <c r="EL289" s="40"/>
      <c r="EM289" s="40"/>
      <c r="EN289" s="40"/>
      <c r="EO289" s="40"/>
      <c r="EP289" s="40"/>
      <c r="EQ289" s="40"/>
      <c r="ER289" s="40"/>
      <c r="ES289" s="40"/>
      <c r="ET289" s="40"/>
      <c r="EU289" s="40"/>
      <c r="EV289" s="40"/>
      <c r="EW289" s="40"/>
      <c r="EX289" s="40"/>
      <c r="EY289" s="40"/>
      <c r="EZ289" s="40"/>
      <c r="FA289" s="40"/>
      <c r="FB289" s="40"/>
      <c r="FC289" s="40"/>
      <c r="FD289" s="40"/>
      <c r="FE289" s="40"/>
      <c r="FF289" s="40"/>
      <c r="FG289" s="40"/>
      <c r="FH289" s="40"/>
      <c r="FI289" s="40"/>
      <c r="FJ289" s="40"/>
      <c r="FK289" s="40"/>
      <c r="FL289" s="40"/>
      <c r="FM289" s="40"/>
      <c r="FN289" s="40"/>
      <c r="FO289" s="40"/>
      <c r="FP289" s="40"/>
      <c r="FQ289" s="40"/>
      <c r="FR289" s="40"/>
      <c r="FS289" s="40"/>
      <c r="FT289" s="40"/>
      <c r="FU289" s="40"/>
      <c r="FV289" s="40"/>
    </row>
    <row r="290" spans="22:178" s="34" customFormat="1">
      <c r="V290" s="40"/>
      <c r="DK290" s="40"/>
      <c r="DL290" s="40"/>
      <c r="DM290" s="40"/>
      <c r="DN290" s="40"/>
      <c r="DO290" s="40"/>
      <c r="DP290" s="40"/>
      <c r="DQ290" s="40"/>
      <c r="DR290" s="40"/>
      <c r="DS290" s="40"/>
      <c r="DT290" s="40"/>
      <c r="DU290" s="40"/>
      <c r="DV290" s="40"/>
      <c r="DW290" s="40"/>
      <c r="DX290" s="40"/>
      <c r="DY290" s="40"/>
      <c r="DZ290" s="40"/>
      <c r="EA290" s="40"/>
      <c r="EB290" s="40"/>
      <c r="EC290" s="40"/>
      <c r="ED290" s="40"/>
      <c r="EE290" s="40"/>
      <c r="EF290" s="40"/>
      <c r="EG290" s="40"/>
      <c r="EH290" s="40"/>
      <c r="EI290" s="40"/>
      <c r="EJ290" s="40"/>
      <c r="EK290" s="40"/>
      <c r="EL290" s="40"/>
      <c r="EM290" s="40"/>
      <c r="EN290" s="40"/>
      <c r="EO290" s="40"/>
      <c r="EP290" s="40"/>
      <c r="EQ290" s="40"/>
      <c r="ER290" s="40"/>
      <c r="ES290" s="40"/>
      <c r="ET290" s="40"/>
      <c r="EU290" s="40"/>
      <c r="EV290" s="40"/>
      <c r="EW290" s="40"/>
      <c r="EX290" s="40"/>
      <c r="EY290" s="40"/>
      <c r="EZ290" s="40"/>
      <c r="FA290" s="40"/>
      <c r="FB290" s="40"/>
      <c r="FC290" s="40"/>
      <c r="FD290" s="40"/>
      <c r="FE290" s="40"/>
      <c r="FF290" s="40"/>
      <c r="FG290" s="40"/>
      <c r="FH290" s="40"/>
      <c r="FI290" s="40"/>
      <c r="FJ290" s="40"/>
      <c r="FK290" s="40"/>
      <c r="FL290" s="40"/>
      <c r="FM290" s="40"/>
      <c r="FN290" s="40"/>
      <c r="FO290" s="40"/>
      <c r="FP290" s="40"/>
      <c r="FQ290" s="40"/>
      <c r="FR290" s="40"/>
      <c r="FS290" s="40"/>
      <c r="FT290" s="40"/>
      <c r="FU290" s="40"/>
      <c r="FV290" s="40"/>
    </row>
    <row r="291" spans="22:178" s="34" customFormat="1">
      <c r="V291" s="40"/>
      <c r="DK291" s="40"/>
      <c r="DL291" s="40"/>
      <c r="DM291" s="40"/>
      <c r="DN291" s="40"/>
      <c r="DO291" s="40"/>
      <c r="DP291" s="40"/>
      <c r="DQ291" s="40"/>
      <c r="DR291" s="40"/>
      <c r="DS291" s="40"/>
      <c r="DT291" s="40"/>
      <c r="DU291" s="40"/>
      <c r="DV291" s="40"/>
      <c r="DW291" s="40"/>
      <c r="DX291" s="40"/>
      <c r="DY291" s="40"/>
      <c r="DZ291" s="40"/>
      <c r="EA291" s="40"/>
      <c r="EB291" s="40"/>
      <c r="EC291" s="40"/>
      <c r="ED291" s="40"/>
      <c r="EE291" s="40"/>
      <c r="EF291" s="40"/>
      <c r="EG291" s="40"/>
      <c r="EH291" s="40"/>
      <c r="EI291" s="40"/>
      <c r="EJ291" s="40"/>
      <c r="EK291" s="40"/>
      <c r="EL291" s="40"/>
      <c r="EM291" s="40"/>
      <c r="EN291" s="40"/>
      <c r="EO291" s="40"/>
      <c r="EP291" s="40"/>
      <c r="EQ291" s="40"/>
      <c r="ER291" s="40"/>
      <c r="ES291" s="40"/>
      <c r="ET291" s="40"/>
      <c r="EU291" s="40"/>
      <c r="EV291" s="40"/>
      <c r="EW291" s="40"/>
      <c r="EX291" s="40"/>
      <c r="EY291" s="40"/>
      <c r="EZ291" s="40"/>
      <c r="FA291" s="40"/>
      <c r="FB291" s="40"/>
      <c r="FC291" s="40"/>
      <c r="FD291" s="40"/>
      <c r="FE291" s="40"/>
      <c r="FF291" s="40"/>
      <c r="FG291" s="40"/>
      <c r="FH291" s="40"/>
      <c r="FI291" s="40"/>
      <c r="FJ291" s="40"/>
      <c r="FK291" s="40"/>
      <c r="FL291" s="40"/>
      <c r="FM291" s="40"/>
      <c r="FN291" s="40"/>
      <c r="FO291" s="40"/>
      <c r="FP291" s="40"/>
      <c r="FQ291" s="40"/>
      <c r="FR291" s="40"/>
      <c r="FS291" s="40"/>
      <c r="FT291" s="40"/>
      <c r="FU291" s="40"/>
      <c r="FV291" s="40"/>
    </row>
    <row r="292" spans="22:178" s="34" customFormat="1">
      <c r="V292" s="40"/>
      <c r="DK292" s="40"/>
      <c r="DL292" s="40"/>
      <c r="DM292" s="40"/>
      <c r="DN292" s="40"/>
      <c r="DO292" s="40"/>
      <c r="DP292" s="40"/>
      <c r="DQ292" s="40"/>
      <c r="DR292" s="40"/>
      <c r="DS292" s="40"/>
      <c r="DT292" s="40"/>
      <c r="DU292" s="40"/>
      <c r="DV292" s="40"/>
      <c r="DW292" s="40"/>
      <c r="DX292" s="40"/>
      <c r="DY292" s="40"/>
      <c r="DZ292" s="40"/>
      <c r="EA292" s="40"/>
      <c r="EB292" s="40"/>
      <c r="EC292" s="40"/>
      <c r="ED292" s="40"/>
      <c r="EE292" s="40"/>
      <c r="EF292" s="40"/>
      <c r="EG292" s="40"/>
      <c r="EH292" s="40"/>
      <c r="EI292" s="40"/>
      <c r="EJ292" s="40"/>
      <c r="EK292" s="40"/>
      <c r="EL292" s="40"/>
      <c r="EM292" s="40"/>
      <c r="EN292" s="40"/>
      <c r="EO292" s="40"/>
      <c r="EP292" s="40"/>
      <c r="EQ292" s="40"/>
      <c r="ER292" s="40"/>
      <c r="ES292" s="40"/>
      <c r="ET292" s="40"/>
      <c r="EU292" s="40"/>
      <c r="EV292" s="40"/>
      <c r="EW292" s="40"/>
      <c r="EX292" s="40"/>
      <c r="EY292" s="40"/>
      <c r="EZ292" s="40"/>
      <c r="FA292" s="40"/>
      <c r="FB292" s="40"/>
      <c r="FC292" s="40"/>
      <c r="FD292" s="40"/>
      <c r="FE292" s="40"/>
      <c r="FF292" s="40"/>
      <c r="FG292" s="40"/>
      <c r="FH292" s="40"/>
      <c r="FI292" s="40"/>
      <c r="FJ292" s="40"/>
      <c r="FK292" s="40"/>
      <c r="FL292" s="40"/>
      <c r="FM292" s="40"/>
      <c r="FN292" s="40"/>
      <c r="FO292" s="40"/>
      <c r="FP292" s="40"/>
      <c r="FQ292" s="40"/>
      <c r="FR292" s="40"/>
      <c r="FS292" s="40"/>
      <c r="FT292" s="40"/>
      <c r="FU292" s="40"/>
      <c r="FV292" s="40"/>
    </row>
    <row r="293" spans="22:178" s="34" customFormat="1">
      <c r="V293" s="40"/>
      <c r="DK293" s="40"/>
      <c r="DL293" s="40"/>
      <c r="DM293" s="40"/>
      <c r="DN293" s="40"/>
      <c r="DO293" s="40"/>
      <c r="DP293" s="40"/>
      <c r="DQ293" s="40"/>
      <c r="DR293" s="40"/>
      <c r="DS293" s="40"/>
      <c r="DT293" s="40"/>
      <c r="DU293" s="40"/>
      <c r="DV293" s="40"/>
      <c r="DW293" s="40"/>
      <c r="DX293" s="40"/>
      <c r="DY293" s="40"/>
      <c r="DZ293" s="40"/>
      <c r="EA293" s="40"/>
      <c r="EB293" s="40"/>
      <c r="EC293" s="40"/>
      <c r="ED293" s="40"/>
      <c r="EE293" s="40"/>
      <c r="EF293" s="40"/>
      <c r="EG293" s="40"/>
      <c r="EH293" s="40"/>
      <c r="EI293" s="40"/>
      <c r="EJ293" s="40"/>
      <c r="EK293" s="40"/>
      <c r="EL293" s="40"/>
      <c r="EM293" s="40"/>
      <c r="EN293" s="40"/>
      <c r="EO293" s="40"/>
      <c r="EP293" s="40"/>
      <c r="EQ293" s="40"/>
      <c r="ER293" s="40"/>
      <c r="ES293" s="40"/>
      <c r="ET293" s="40"/>
      <c r="EU293" s="40"/>
      <c r="EV293" s="40"/>
      <c r="EW293" s="40"/>
      <c r="EX293" s="40"/>
      <c r="EY293" s="40"/>
      <c r="EZ293" s="40"/>
      <c r="FA293" s="40"/>
      <c r="FB293" s="40"/>
      <c r="FC293" s="40"/>
      <c r="FD293" s="40"/>
      <c r="FE293" s="40"/>
      <c r="FF293" s="40"/>
      <c r="FG293" s="40"/>
      <c r="FH293" s="40"/>
      <c r="FI293" s="40"/>
      <c r="FJ293" s="40"/>
      <c r="FK293" s="40"/>
      <c r="FL293" s="40"/>
      <c r="FM293" s="40"/>
      <c r="FN293" s="40"/>
      <c r="FO293" s="40"/>
      <c r="FP293" s="40"/>
      <c r="FQ293" s="40"/>
      <c r="FR293" s="40"/>
      <c r="FS293" s="40"/>
      <c r="FT293" s="40"/>
      <c r="FU293" s="40"/>
      <c r="FV293" s="40"/>
    </row>
    <row r="294" spans="22:178" s="34" customFormat="1">
      <c r="V294" s="40"/>
      <c r="DK294" s="40"/>
      <c r="DL294" s="40"/>
      <c r="DM294" s="40"/>
      <c r="DN294" s="40"/>
      <c r="DO294" s="40"/>
      <c r="DP294" s="40"/>
      <c r="DQ294" s="40"/>
      <c r="DR294" s="40"/>
      <c r="DS294" s="40"/>
      <c r="DT294" s="40"/>
      <c r="DU294" s="40"/>
      <c r="DV294" s="40"/>
      <c r="DW294" s="40"/>
      <c r="DX294" s="40"/>
      <c r="DY294" s="40"/>
      <c r="DZ294" s="40"/>
      <c r="EA294" s="40"/>
      <c r="EB294" s="40"/>
      <c r="EC294" s="40"/>
      <c r="ED294" s="40"/>
      <c r="EE294" s="40"/>
      <c r="EF294" s="40"/>
      <c r="EG294" s="40"/>
      <c r="EH294" s="40"/>
      <c r="EI294" s="40"/>
      <c r="EJ294" s="40"/>
      <c r="EK294" s="40"/>
      <c r="EL294" s="40"/>
      <c r="EM294" s="40"/>
      <c r="EN294" s="40"/>
      <c r="EO294" s="40"/>
      <c r="EP294" s="40"/>
      <c r="EQ294" s="40"/>
      <c r="ER294" s="40"/>
      <c r="ES294" s="40"/>
      <c r="ET294" s="40"/>
      <c r="EU294" s="40"/>
      <c r="EV294" s="40"/>
      <c r="EW294" s="40"/>
      <c r="EX294" s="40"/>
      <c r="EY294" s="40"/>
      <c r="EZ294" s="40"/>
      <c r="FA294" s="40"/>
      <c r="FB294" s="40"/>
      <c r="FC294" s="40"/>
      <c r="FD294" s="40"/>
      <c r="FE294" s="40"/>
      <c r="FF294" s="40"/>
      <c r="FG294" s="40"/>
      <c r="FH294" s="40"/>
      <c r="FI294" s="40"/>
      <c r="FJ294" s="40"/>
      <c r="FK294" s="40"/>
      <c r="FL294" s="40"/>
      <c r="FM294" s="40"/>
      <c r="FN294" s="40"/>
      <c r="FO294" s="40"/>
      <c r="FP294" s="40"/>
      <c r="FQ294" s="40"/>
      <c r="FR294" s="40"/>
      <c r="FS294" s="40"/>
      <c r="FT294" s="40"/>
      <c r="FU294" s="40"/>
      <c r="FV294" s="40"/>
    </row>
    <row r="295" spans="22:178" s="34" customFormat="1">
      <c r="V295" s="40"/>
      <c r="DK295" s="40"/>
      <c r="DL295" s="40"/>
      <c r="DM295" s="40"/>
      <c r="DN295" s="40"/>
      <c r="DO295" s="40"/>
      <c r="DP295" s="40"/>
      <c r="DQ295" s="40"/>
      <c r="DR295" s="40"/>
      <c r="DS295" s="40"/>
      <c r="DT295" s="40"/>
      <c r="DU295" s="40"/>
      <c r="DV295" s="40"/>
      <c r="DW295" s="40"/>
      <c r="DX295" s="40"/>
      <c r="DY295" s="40"/>
      <c r="DZ295" s="40"/>
      <c r="EA295" s="40"/>
      <c r="EB295" s="40"/>
      <c r="EC295" s="40"/>
      <c r="ED295" s="40"/>
      <c r="EE295" s="40"/>
      <c r="EF295" s="40"/>
      <c r="EG295" s="40"/>
      <c r="EH295" s="40"/>
      <c r="EI295" s="40"/>
      <c r="EJ295" s="40"/>
      <c r="EK295" s="40"/>
      <c r="EL295" s="40"/>
      <c r="EM295" s="40"/>
      <c r="EN295" s="40"/>
      <c r="EO295" s="40"/>
      <c r="EP295" s="40"/>
      <c r="EQ295" s="40"/>
      <c r="ER295" s="40"/>
      <c r="ES295" s="40"/>
      <c r="ET295" s="40"/>
      <c r="EU295" s="40"/>
      <c r="EV295" s="40"/>
      <c r="EW295" s="40"/>
      <c r="EX295" s="40"/>
      <c r="EY295" s="40"/>
      <c r="EZ295" s="40"/>
      <c r="FA295" s="40"/>
      <c r="FB295" s="40"/>
      <c r="FC295" s="40"/>
      <c r="FD295" s="40"/>
      <c r="FE295" s="40"/>
      <c r="FF295" s="40"/>
      <c r="FG295" s="40"/>
      <c r="FH295" s="40"/>
      <c r="FI295" s="40"/>
      <c r="FJ295" s="40"/>
      <c r="FK295" s="40"/>
      <c r="FL295" s="40"/>
      <c r="FM295" s="40"/>
      <c r="FN295" s="40"/>
      <c r="FO295" s="40"/>
      <c r="FP295" s="40"/>
      <c r="FQ295" s="40"/>
      <c r="FR295" s="40"/>
      <c r="FS295" s="40"/>
      <c r="FT295" s="40"/>
      <c r="FU295" s="40"/>
      <c r="FV295" s="40"/>
    </row>
    <row r="296" spans="22:178" s="34" customFormat="1">
      <c r="V296" s="40"/>
      <c r="DK296" s="40"/>
      <c r="DL296" s="40"/>
      <c r="DM296" s="40"/>
      <c r="DN296" s="40"/>
      <c r="DO296" s="40"/>
      <c r="DP296" s="40"/>
      <c r="DQ296" s="40"/>
      <c r="DR296" s="40"/>
      <c r="DS296" s="40"/>
      <c r="DT296" s="40"/>
      <c r="DU296" s="40"/>
      <c r="DV296" s="40"/>
      <c r="DW296" s="40"/>
      <c r="DX296" s="40"/>
      <c r="DY296" s="40"/>
      <c r="DZ296" s="40"/>
      <c r="EA296" s="40"/>
      <c r="EB296" s="40"/>
      <c r="EC296" s="40"/>
      <c r="ED296" s="40"/>
      <c r="EE296" s="40"/>
      <c r="EF296" s="40"/>
      <c r="EG296" s="40"/>
      <c r="EH296" s="40"/>
      <c r="EI296" s="40"/>
      <c r="EJ296" s="40"/>
      <c r="EK296" s="40"/>
      <c r="EL296" s="40"/>
      <c r="EM296" s="40"/>
      <c r="EN296" s="40"/>
      <c r="EO296" s="40"/>
      <c r="EP296" s="40"/>
      <c r="EQ296" s="40"/>
      <c r="ER296" s="40"/>
      <c r="ES296" s="40"/>
      <c r="ET296" s="40"/>
      <c r="EU296" s="40"/>
      <c r="EV296" s="40"/>
      <c r="EW296" s="40"/>
      <c r="EX296" s="40"/>
      <c r="EY296" s="40"/>
      <c r="EZ296" s="40"/>
      <c r="FA296" s="40"/>
      <c r="FB296" s="40"/>
      <c r="FC296" s="40"/>
      <c r="FD296" s="40"/>
      <c r="FE296" s="40"/>
      <c r="FF296" s="40"/>
      <c r="FG296" s="40"/>
      <c r="FH296" s="40"/>
      <c r="FI296" s="40"/>
      <c r="FJ296" s="40"/>
      <c r="FK296" s="40"/>
      <c r="FL296" s="40"/>
      <c r="FM296" s="40"/>
      <c r="FN296" s="40"/>
      <c r="FO296" s="40"/>
      <c r="FP296" s="40"/>
      <c r="FQ296" s="40"/>
      <c r="FR296" s="40"/>
      <c r="FS296" s="40"/>
      <c r="FT296" s="40"/>
      <c r="FU296" s="40"/>
      <c r="FV296" s="40"/>
    </row>
    <row r="297" spans="22:178" s="34" customFormat="1">
      <c r="V297" s="40"/>
      <c r="DK297" s="40"/>
      <c r="DL297" s="40"/>
      <c r="DM297" s="40"/>
      <c r="DN297" s="40"/>
      <c r="DO297" s="40"/>
      <c r="DP297" s="40"/>
      <c r="DQ297" s="40"/>
      <c r="DR297" s="40"/>
      <c r="DS297" s="40"/>
      <c r="DT297" s="40"/>
      <c r="DU297" s="40"/>
      <c r="DV297" s="40"/>
      <c r="DW297" s="40"/>
      <c r="DX297" s="40"/>
      <c r="DY297" s="40"/>
      <c r="DZ297" s="40"/>
      <c r="EA297" s="40"/>
      <c r="EB297" s="40"/>
      <c r="EC297" s="40"/>
      <c r="ED297" s="40"/>
      <c r="EE297" s="40"/>
      <c r="EF297" s="40"/>
      <c r="EG297" s="40"/>
      <c r="EH297" s="40"/>
      <c r="EI297" s="40"/>
      <c r="EJ297" s="40"/>
      <c r="EK297" s="40"/>
      <c r="EL297" s="40"/>
      <c r="EM297" s="40"/>
      <c r="EN297" s="40"/>
      <c r="EO297" s="40"/>
      <c r="EP297" s="40"/>
      <c r="EQ297" s="40"/>
      <c r="ER297" s="40"/>
      <c r="ES297" s="40"/>
      <c r="ET297" s="40"/>
      <c r="EU297" s="40"/>
      <c r="EV297" s="40"/>
      <c r="EW297" s="40"/>
      <c r="EX297" s="40"/>
      <c r="EY297" s="40"/>
      <c r="EZ297" s="40"/>
      <c r="FA297" s="40"/>
      <c r="FB297" s="40"/>
      <c r="FC297" s="40"/>
      <c r="FD297" s="40"/>
      <c r="FE297" s="40"/>
      <c r="FF297" s="40"/>
      <c r="FG297" s="40"/>
      <c r="FH297" s="40"/>
      <c r="FI297" s="40"/>
      <c r="FJ297" s="40"/>
      <c r="FK297" s="40"/>
      <c r="FL297" s="40"/>
      <c r="FM297" s="40"/>
      <c r="FN297" s="40"/>
      <c r="FO297" s="40"/>
      <c r="FP297" s="40"/>
      <c r="FQ297" s="40"/>
      <c r="FR297" s="40"/>
      <c r="FS297" s="40"/>
      <c r="FT297" s="40"/>
      <c r="FU297" s="40"/>
      <c r="FV297" s="40"/>
    </row>
    <row r="298" spans="22:178" s="34" customFormat="1">
      <c r="V298" s="40"/>
      <c r="DK298" s="40"/>
      <c r="DL298" s="40"/>
      <c r="DM298" s="40"/>
      <c r="DN298" s="40"/>
      <c r="DO298" s="40"/>
      <c r="DP298" s="40"/>
      <c r="DQ298" s="40"/>
      <c r="DR298" s="40"/>
      <c r="DS298" s="40"/>
      <c r="DT298" s="40"/>
      <c r="DU298" s="40"/>
      <c r="DV298" s="40"/>
      <c r="DW298" s="40"/>
      <c r="DX298" s="40"/>
      <c r="DY298" s="40"/>
      <c r="DZ298" s="40"/>
      <c r="EA298" s="40"/>
      <c r="EB298" s="40"/>
      <c r="EC298" s="40"/>
      <c r="ED298" s="40"/>
      <c r="EE298" s="40"/>
      <c r="EF298" s="40"/>
      <c r="EG298" s="40"/>
      <c r="EH298" s="40"/>
      <c r="EI298" s="40"/>
      <c r="EJ298" s="40"/>
      <c r="EK298" s="40"/>
      <c r="EL298" s="40"/>
      <c r="EM298" s="40"/>
      <c r="EN298" s="40"/>
      <c r="EO298" s="40"/>
      <c r="EP298" s="40"/>
      <c r="EQ298" s="40"/>
      <c r="ER298" s="40"/>
      <c r="ES298" s="40"/>
      <c r="ET298" s="40"/>
      <c r="EU298" s="40"/>
      <c r="EV298" s="40"/>
      <c r="EW298" s="40"/>
      <c r="EX298" s="40"/>
      <c r="EY298" s="40"/>
      <c r="EZ298" s="40"/>
      <c r="FA298" s="40"/>
      <c r="FB298" s="40"/>
      <c r="FC298" s="40"/>
      <c r="FD298" s="40"/>
      <c r="FE298" s="40"/>
      <c r="FF298" s="40"/>
      <c r="FG298" s="40"/>
      <c r="FH298" s="40"/>
      <c r="FI298" s="40"/>
      <c r="FJ298" s="40"/>
      <c r="FK298" s="40"/>
      <c r="FL298" s="40"/>
      <c r="FM298" s="40"/>
      <c r="FN298" s="40"/>
      <c r="FO298" s="40"/>
      <c r="FP298" s="40"/>
      <c r="FQ298" s="40"/>
      <c r="FR298" s="40"/>
      <c r="FS298" s="40"/>
      <c r="FT298" s="40"/>
      <c r="FU298" s="40"/>
      <c r="FV298" s="40"/>
    </row>
    <row r="299" spans="22:178" s="34" customFormat="1">
      <c r="V299" s="40"/>
      <c r="DK299" s="40"/>
      <c r="DL299" s="40"/>
      <c r="DM299" s="40"/>
      <c r="DN299" s="40"/>
      <c r="DO299" s="40"/>
      <c r="DP299" s="40"/>
      <c r="DQ299" s="40"/>
      <c r="DR299" s="40"/>
      <c r="DS299" s="40"/>
      <c r="DT299" s="40"/>
      <c r="DU299" s="40"/>
      <c r="DV299" s="40"/>
      <c r="DW299" s="40"/>
      <c r="DX299" s="40"/>
      <c r="DY299" s="40"/>
      <c r="DZ299" s="40"/>
      <c r="EA299" s="40"/>
      <c r="EB299" s="40"/>
      <c r="EC299" s="40"/>
      <c r="ED299" s="40"/>
      <c r="EE299" s="40"/>
      <c r="EF299" s="40"/>
      <c r="EG299" s="40"/>
      <c r="EH299" s="40"/>
      <c r="EI299" s="40"/>
      <c r="EJ299" s="40"/>
      <c r="EK299" s="40"/>
      <c r="EL299" s="40"/>
      <c r="EM299" s="40"/>
      <c r="EN299" s="40"/>
      <c r="EO299" s="40"/>
      <c r="EP299" s="40"/>
      <c r="EQ299" s="40"/>
      <c r="ER299" s="40"/>
      <c r="ES299" s="40"/>
      <c r="ET299" s="40"/>
      <c r="EU299" s="40"/>
      <c r="EV299" s="40"/>
      <c r="EW299" s="40"/>
      <c r="EX299" s="40"/>
      <c r="EY299" s="40"/>
      <c r="EZ299" s="40"/>
      <c r="FA299" s="40"/>
      <c r="FB299" s="40"/>
      <c r="FC299" s="40"/>
      <c r="FD299" s="40"/>
      <c r="FE299" s="40"/>
      <c r="FF299" s="40"/>
      <c r="FG299" s="40"/>
      <c r="FH299" s="40"/>
      <c r="FI299" s="40"/>
      <c r="FJ299" s="40"/>
      <c r="FK299" s="40"/>
      <c r="FL299" s="40"/>
      <c r="FM299" s="40"/>
      <c r="FN299" s="40"/>
      <c r="FO299" s="40"/>
      <c r="FP299" s="40"/>
      <c r="FQ299" s="40"/>
      <c r="FR299" s="40"/>
      <c r="FS299" s="40"/>
      <c r="FT299" s="40"/>
      <c r="FU299" s="40"/>
      <c r="FV299" s="40"/>
    </row>
    <row r="300" spans="22:178" s="34" customFormat="1">
      <c r="V300" s="40"/>
      <c r="DK300" s="40"/>
      <c r="DL300" s="40"/>
      <c r="DM300" s="40"/>
      <c r="DN300" s="40"/>
      <c r="DO300" s="40"/>
      <c r="DP300" s="40"/>
      <c r="DQ300" s="40"/>
      <c r="DR300" s="40"/>
      <c r="DS300" s="40"/>
      <c r="DT300" s="40"/>
      <c r="DU300" s="40"/>
      <c r="DV300" s="40"/>
      <c r="DW300" s="40"/>
      <c r="DX300" s="40"/>
      <c r="DY300" s="40"/>
      <c r="DZ300" s="40"/>
      <c r="EA300" s="40"/>
      <c r="EB300" s="40"/>
      <c r="EC300" s="40"/>
      <c r="ED300" s="40"/>
      <c r="EE300" s="40"/>
      <c r="EF300" s="40"/>
      <c r="EG300" s="40"/>
      <c r="EH300" s="40"/>
      <c r="EI300" s="40"/>
      <c r="EJ300" s="40"/>
      <c r="EK300" s="40"/>
      <c r="EL300" s="40"/>
      <c r="EM300" s="40"/>
      <c r="EN300" s="40"/>
      <c r="EO300" s="40"/>
      <c r="EP300" s="40"/>
      <c r="EQ300" s="40"/>
      <c r="ER300" s="40"/>
      <c r="ES300" s="40"/>
      <c r="ET300" s="40"/>
      <c r="EU300" s="40"/>
      <c r="EV300" s="40"/>
      <c r="EW300" s="40"/>
      <c r="EX300" s="40"/>
      <c r="EY300" s="40"/>
      <c r="EZ300" s="40"/>
      <c r="FA300" s="40"/>
      <c r="FB300" s="40"/>
      <c r="FC300" s="40"/>
      <c r="FD300" s="40"/>
      <c r="FE300" s="40"/>
      <c r="FF300" s="40"/>
      <c r="FG300" s="40"/>
      <c r="FH300" s="40"/>
      <c r="FI300" s="40"/>
      <c r="FJ300" s="40"/>
      <c r="FK300" s="40"/>
      <c r="FL300" s="40"/>
      <c r="FM300" s="40"/>
      <c r="FN300" s="40"/>
      <c r="FO300" s="40"/>
      <c r="FP300" s="40"/>
      <c r="FQ300" s="40"/>
      <c r="FR300" s="40"/>
      <c r="FS300" s="40"/>
      <c r="FT300" s="40"/>
      <c r="FU300" s="40"/>
      <c r="FV300" s="40"/>
    </row>
    <row r="301" spans="22:178" s="34" customFormat="1">
      <c r="V301" s="40"/>
      <c r="DK301" s="40"/>
      <c r="DL301" s="40"/>
      <c r="DM301" s="40"/>
      <c r="DN301" s="40"/>
      <c r="DO301" s="40"/>
      <c r="DP301" s="40"/>
      <c r="DQ301" s="40"/>
      <c r="DR301" s="40"/>
      <c r="DS301" s="40"/>
      <c r="DT301" s="40"/>
      <c r="DU301" s="40"/>
      <c r="DV301" s="40"/>
      <c r="DW301" s="40"/>
      <c r="DX301" s="40"/>
      <c r="DY301" s="40"/>
      <c r="DZ301" s="40"/>
      <c r="EA301" s="40"/>
      <c r="EB301" s="40"/>
      <c r="EC301" s="40"/>
      <c r="ED301" s="40"/>
      <c r="EE301" s="40"/>
      <c r="EF301" s="40"/>
      <c r="EG301" s="40"/>
      <c r="EH301" s="40"/>
      <c r="EI301" s="40"/>
      <c r="EJ301" s="40"/>
      <c r="EK301" s="40"/>
      <c r="EL301" s="40"/>
      <c r="EM301" s="40"/>
      <c r="EN301" s="40"/>
      <c r="EO301" s="40"/>
      <c r="EP301" s="40"/>
      <c r="EQ301" s="40"/>
      <c r="ER301" s="40"/>
      <c r="ES301" s="40"/>
      <c r="ET301" s="40"/>
      <c r="EU301" s="40"/>
      <c r="EV301" s="40"/>
      <c r="EW301" s="40"/>
      <c r="EX301" s="40"/>
      <c r="EY301" s="40"/>
      <c r="EZ301" s="40"/>
      <c r="FA301" s="40"/>
      <c r="FB301" s="40"/>
      <c r="FC301" s="40"/>
      <c r="FD301" s="40"/>
      <c r="FE301" s="40"/>
      <c r="FF301" s="40"/>
      <c r="FG301" s="40"/>
      <c r="FH301" s="40"/>
      <c r="FI301" s="40"/>
      <c r="FJ301" s="40"/>
      <c r="FK301" s="40"/>
      <c r="FL301" s="40"/>
      <c r="FM301" s="40"/>
      <c r="FN301" s="40"/>
      <c r="FO301" s="40"/>
      <c r="FP301" s="40"/>
      <c r="FQ301" s="40"/>
      <c r="FR301" s="40"/>
      <c r="FS301" s="40"/>
      <c r="FT301" s="40"/>
      <c r="FU301" s="40"/>
      <c r="FV301" s="40"/>
    </row>
    <row r="302" spans="22:178" s="34" customFormat="1">
      <c r="V302" s="40"/>
      <c r="DK302" s="40"/>
      <c r="DL302" s="40"/>
      <c r="DM302" s="40"/>
      <c r="DN302" s="40"/>
      <c r="DO302" s="40"/>
      <c r="DP302" s="40"/>
      <c r="DQ302" s="40"/>
      <c r="DR302" s="40"/>
      <c r="DS302" s="40"/>
      <c r="DT302" s="40"/>
      <c r="DU302" s="40"/>
      <c r="DV302" s="40"/>
      <c r="DW302" s="40"/>
      <c r="DX302" s="40"/>
      <c r="DY302" s="40"/>
      <c r="DZ302" s="40"/>
      <c r="EA302" s="40"/>
      <c r="EB302" s="40"/>
      <c r="EC302" s="40"/>
      <c r="ED302" s="40"/>
      <c r="EE302" s="40"/>
      <c r="EF302" s="40"/>
      <c r="EG302" s="40"/>
      <c r="EH302" s="40"/>
      <c r="EI302" s="40"/>
      <c r="EJ302" s="40"/>
      <c r="EK302" s="40"/>
      <c r="EL302" s="40"/>
      <c r="EM302" s="40"/>
      <c r="EN302" s="40"/>
      <c r="EO302" s="40"/>
      <c r="EP302" s="40"/>
      <c r="EQ302" s="40"/>
      <c r="ER302" s="40"/>
      <c r="ES302" s="40"/>
      <c r="ET302" s="40"/>
      <c r="EU302" s="40"/>
      <c r="EV302" s="40"/>
      <c r="EW302" s="40"/>
      <c r="EX302" s="40"/>
      <c r="EY302" s="40"/>
      <c r="EZ302" s="40"/>
      <c r="FA302" s="40"/>
      <c r="FB302" s="40"/>
      <c r="FC302" s="40"/>
      <c r="FD302" s="40"/>
      <c r="FE302" s="40"/>
      <c r="FF302" s="40"/>
      <c r="FG302" s="40"/>
      <c r="FH302" s="40"/>
      <c r="FI302" s="40"/>
      <c r="FJ302" s="40"/>
      <c r="FK302" s="40"/>
      <c r="FL302" s="40"/>
      <c r="FM302" s="40"/>
      <c r="FN302" s="40"/>
      <c r="FO302" s="40"/>
      <c r="FP302" s="40"/>
      <c r="FQ302" s="40"/>
      <c r="FR302" s="40"/>
      <c r="FS302" s="40"/>
      <c r="FT302" s="40"/>
      <c r="FU302" s="40"/>
      <c r="FV302" s="40"/>
    </row>
    <row r="303" spans="22:178" s="34" customFormat="1">
      <c r="V303" s="40"/>
      <c r="DK303" s="40"/>
      <c r="DL303" s="40"/>
      <c r="DM303" s="40"/>
      <c r="DN303" s="40"/>
      <c r="DO303" s="40"/>
      <c r="DP303" s="40"/>
      <c r="DQ303" s="40"/>
      <c r="DR303" s="40"/>
      <c r="DS303" s="40"/>
      <c r="DT303" s="40"/>
      <c r="DU303" s="40"/>
      <c r="DV303" s="40"/>
      <c r="DW303" s="40"/>
      <c r="DX303" s="40"/>
      <c r="DY303" s="40"/>
      <c r="DZ303" s="40"/>
      <c r="EA303" s="40"/>
      <c r="EB303" s="40"/>
      <c r="EC303" s="40"/>
      <c r="ED303" s="40"/>
      <c r="EE303" s="40"/>
      <c r="EF303" s="40"/>
      <c r="EG303" s="40"/>
      <c r="EH303" s="40"/>
      <c r="EI303" s="40"/>
      <c r="EJ303" s="40"/>
      <c r="EK303" s="40"/>
      <c r="EL303" s="40"/>
      <c r="EM303" s="40"/>
      <c r="EN303" s="40"/>
      <c r="EO303" s="40"/>
      <c r="EP303" s="40"/>
      <c r="EQ303" s="40"/>
      <c r="ER303" s="40"/>
      <c r="ES303" s="40"/>
      <c r="ET303" s="40"/>
      <c r="EU303" s="40"/>
      <c r="EV303" s="40"/>
      <c r="EW303" s="40"/>
      <c r="EX303" s="40"/>
      <c r="EY303" s="40"/>
      <c r="EZ303" s="40"/>
      <c r="FA303" s="40"/>
      <c r="FB303" s="40"/>
      <c r="FC303" s="40"/>
      <c r="FD303" s="40"/>
      <c r="FE303" s="40"/>
      <c r="FF303" s="40"/>
      <c r="FG303" s="40"/>
      <c r="FH303" s="40"/>
      <c r="FI303" s="40"/>
      <c r="FJ303" s="40"/>
      <c r="FK303" s="40"/>
      <c r="FL303" s="40"/>
      <c r="FM303" s="40"/>
      <c r="FN303" s="40"/>
      <c r="FO303" s="40"/>
      <c r="FP303" s="40"/>
      <c r="FQ303" s="40"/>
      <c r="FR303" s="40"/>
      <c r="FS303" s="40"/>
      <c r="FT303" s="40"/>
      <c r="FU303" s="40"/>
      <c r="FV303" s="40"/>
    </row>
    <row r="304" spans="22:178" s="34" customFormat="1">
      <c r="V304" s="40"/>
    </row>
    <row r="305" spans="22:22" s="34" customFormat="1">
      <c r="V305" s="40"/>
    </row>
    <row r="306" spans="22:22" s="34" customFormat="1">
      <c r="V306" s="40"/>
    </row>
    <row r="307" spans="22:22" s="34" customFormat="1">
      <c r="V307" s="40"/>
    </row>
    <row r="308" spans="22:22" s="34" customFormat="1">
      <c r="V308" s="40"/>
    </row>
    <row r="309" spans="22:22" s="34" customFormat="1">
      <c r="V309" s="40"/>
    </row>
    <row r="310" spans="22:22" s="34" customFormat="1">
      <c r="V310" s="40"/>
    </row>
    <row r="311" spans="22:22" s="34" customFormat="1">
      <c r="V311" s="40"/>
    </row>
    <row r="312" spans="22:22" s="34" customFormat="1">
      <c r="V312" s="40"/>
    </row>
    <row r="313" spans="22:22" s="34" customFormat="1">
      <c r="V313" s="40"/>
    </row>
    <row r="314" spans="22:22" s="34" customFormat="1">
      <c r="V314" s="40"/>
    </row>
    <row r="315" spans="22:22" s="34" customFormat="1">
      <c r="V315" s="40"/>
    </row>
    <row r="316" spans="22:22" s="34" customFormat="1">
      <c r="V316" s="40"/>
    </row>
    <row r="317" spans="22:22" s="34" customFormat="1">
      <c r="V317" s="40"/>
    </row>
    <row r="318" spans="22:22" s="34" customFormat="1">
      <c r="V318" s="40"/>
    </row>
    <row r="319" spans="22:22" s="34" customFormat="1">
      <c r="V319" s="40"/>
    </row>
    <row r="320" spans="22:22" s="34" customFormat="1">
      <c r="V320" s="40"/>
    </row>
    <row r="321" spans="22:22" s="34" customFormat="1">
      <c r="V321" s="40"/>
    </row>
    <row r="322" spans="22:22" s="34" customFormat="1">
      <c r="V322" s="40"/>
    </row>
    <row r="323" spans="22:22" s="34" customFormat="1">
      <c r="V323" s="40"/>
    </row>
    <row r="324" spans="22:22" s="34" customFormat="1">
      <c r="V324" s="40"/>
    </row>
    <row r="325" spans="22:22" s="34" customFormat="1">
      <c r="V325" s="40"/>
    </row>
    <row r="326" spans="22:22" s="34" customFormat="1">
      <c r="V326" s="40"/>
    </row>
    <row r="327" spans="22:22" s="34" customFormat="1">
      <c r="V327" s="40"/>
    </row>
    <row r="328" spans="22:22" s="34" customFormat="1">
      <c r="V328" s="40"/>
    </row>
    <row r="329" spans="22:22" s="34" customFormat="1">
      <c r="V329" s="40"/>
    </row>
    <row r="330" spans="22:22" s="34" customFormat="1">
      <c r="V330" s="40"/>
    </row>
    <row r="331" spans="22:22" s="34" customFormat="1">
      <c r="V331" s="40"/>
    </row>
    <row r="332" spans="22:22" s="34" customFormat="1">
      <c r="V332" s="40"/>
    </row>
    <row r="333" spans="22:22" s="34" customFormat="1">
      <c r="V333" s="40"/>
    </row>
    <row r="334" spans="22:22" s="34" customFormat="1">
      <c r="V334" s="40"/>
    </row>
    <row r="335" spans="22:22" s="34" customFormat="1">
      <c r="V335" s="40"/>
    </row>
    <row r="336" spans="22:22" s="34" customFormat="1">
      <c r="V336" s="40"/>
    </row>
    <row r="337" spans="22:22" s="34" customFormat="1">
      <c r="V337" s="40"/>
    </row>
    <row r="338" spans="22:22" s="34" customFormat="1">
      <c r="V338" s="40"/>
    </row>
    <row r="339" spans="22:22" s="34" customFormat="1">
      <c r="V339" s="40"/>
    </row>
    <row r="340" spans="22:22" s="34" customFormat="1">
      <c r="V340" s="40"/>
    </row>
    <row r="341" spans="22:22" s="34" customFormat="1">
      <c r="V341" s="40"/>
    </row>
    <row r="342" spans="22:22" s="34" customFormat="1">
      <c r="V342" s="40"/>
    </row>
    <row r="343" spans="22:22" s="34" customFormat="1">
      <c r="V343" s="40"/>
    </row>
    <row r="344" spans="22:22" s="34" customFormat="1">
      <c r="V344" s="40"/>
    </row>
    <row r="345" spans="22:22" s="34" customFormat="1">
      <c r="V345" s="40"/>
    </row>
    <row r="346" spans="22:22" s="34" customFormat="1">
      <c r="V346" s="40"/>
    </row>
    <row r="347" spans="22:22" s="34" customFormat="1">
      <c r="V347" s="40"/>
    </row>
    <row r="348" spans="22:22" s="34" customFormat="1">
      <c r="V348" s="40"/>
    </row>
    <row r="349" spans="22:22" s="34" customFormat="1">
      <c r="V349" s="40"/>
    </row>
    <row r="350" spans="22:22" s="34" customFormat="1">
      <c r="V350" s="40"/>
    </row>
    <row r="351" spans="22:22" s="34" customFormat="1">
      <c r="V351" s="40"/>
    </row>
    <row r="352" spans="22:22" s="34" customFormat="1">
      <c r="V352" s="40"/>
    </row>
    <row r="353" spans="22:22" s="34" customFormat="1">
      <c r="V353" s="40"/>
    </row>
    <row r="354" spans="22:22" s="34" customFormat="1">
      <c r="V354" s="40"/>
    </row>
    <row r="355" spans="22:22" s="34" customFormat="1">
      <c r="V355" s="40"/>
    </row>
    <row r="356" spans="22:22" s="34" customFormat="1">
      <c r="V356" s="40"/>
    </row>
    <row r="357" spans="22:22" s="34" customFormat="1">
      <c r="V357" s="40"/>
    </row>
    <row r="358" spans="22:22" s="34" customFormat="1">
      <c r="V358" s="40"/>
    </row>
    <row r="359" spans="22:22" s="34" customFormat="1">
      <c r="V359" s="40"/>
    </row>
    <row r="360" spans="22:22" s="34" customFormat="1">
      <c r="V360" s="40"/>
    </row>
    <row r="361" spans="22:22" s="34" customFormat="1">
      <c r="V361" s="40"/>
    </row>
    <row r="362" spans="22:22" s="34" customFormat="1">
      <c r="V362" s="40"/>
    </row>
    <row r="363" spans="22:22" s="34" customFormat="1">
      <c r="V363" s="40"/>
    </row>
    <row r="364" spans="22:22" s="34" customFormat="1">
      <c r="V364" s="40"/>
    </row>
    <row r="365" spans="22:22" s="34" customFormat="1">
      <c r="V365" s="40"/>
    </row>
    <row r="366" spans="22:22" s="34" customFormat="1">
      <c r="V366" s="40"/>
    </row>
    <row r="367" spans="22:22" s="34" customFormat="1">
      <c r="V367" s="40"/>
    </row>
    <row r="368" spans="22:22" s="34" customFormat="1">
      <c r="V368" s="40"/>
    </row>
    <row r="369" spans="22:22" s="34" customFormat="1">
      <c r="V369" s="40"/>
    </row>
    <row r="370" spans="22:22" s="34" customFormat="1">
      <c r="V370" s="40"/>
    </row>
    <row r="371" spans="22:22" s="34" customFormat="1">
      <c r="V371" s="40"/>
    </row>
    <row r="372" spans="22:22" s="34" customFormat="1">
      <c r="V372" s="40"/>
    </row>
    <row r="373" spans="22:22" s="34" customFormat="1">
      <c r="V373" s="40"/>
    </row>
    <row r="374" spans="22:22" s="34" customFormat="1">
      <c r="V374" s="40"/>
    </row>
    <row r="375" spans="22:22" s="34" customFormat="1">
      <c r="V375" s="40"/>
    </row>
    <row r="376" spans="22:22" s="34" customFormat="1">
      <c r="V376" s="40"/>
    </row>
    <row r="377" spans="22:22" s="34" customFormat="1">
      <c r="V377" s="40"/>
    </row>
    <row r="378" spans="22:22" s="34" customFormat="1">
      <c r="V378" s="40"/>
    </row>
    <row r="379" spans="22:22" s="34" customFormat="1">
      <c r="V379" s="40"/>
    </row>
    <row r="380" spans="22:22" s="34" customFormat="1">
      <c r="V380" s="40"/>
    </row>
    <row r="381" spans="22:22" s="34" customFormat="1">
      <c r="V381" s="40"/>
    </row>
    <row r="382" spans="22:22" s="34" customFormat="1">
      <c r="V382" s="40"/>
    </row>
    <row r="383" spans="22:22" s="34" customFormat="1">
      <c r="V383" s="40"/>
    </row>
    <row r="384" spans="22:22" s="34" customFormat="1">
      <c r="V384" s="40"/>
    </row>
    <row r="385" spans="22:22" s="34" customFormat="1">
      <c r="V385" s="40"/>
    </row>
    <row r="386" spans="22:22" s="34" customFormat="1">
      <c r="V386" s="40"/>
    </row>
    <row r="387" spans="22:22" s="34" customFormat="1">
      <c r="V387" s="40"/>
    </row>
    <row r="388" spans="22:22" s="34" customFormat="1">
      <c r="V388" s="40"/>
    </row>
    <row r="389" spans="22:22" s="34" customFormat="1">
      <c r="V389" s="40"/>
    </row>
    <row r="390" spans="22:22" s="34" customFormat="1">
      <c r="V390" s="40"/>
    </row>
    <row r="391" spans="22:22" s="34" customFormat="1">
      <c r="V391" s="40"/>
    </row>
    <row r="392" spans="22:22" s="34" customFormat="1">
      <c r="V392" s="40"/>
    </row>
    <row r="393" spans="22:22" s="34" customFormat="1">
      <c r="V393" s="40"/>
    </row>
    <row r="394" spans="22:22" s="34" customFormat="1">
      <c r="V394" s="40"/>
    </row>
    <row r="395" spans="22:22" s="34" customFormat="1">
      <c r="V395" s="40"/>
    </row>
    <row r="396" spans="22:22" s="34" customFormat="1">
      <c r="V396" s="40"/>
    </row>
    <row r="397" spans="22:22" s="34" customFormat="1">
      <c r="V397" s="40"/>
    </row>
    <row r="398" spans="22:22" s="34" customFormat="1">
      <c r="V398" s="40"/>
    </row>
    <row r="399" spans="22:22" s="34" customFormat="1">
      <c r="V399" s="40"/>
    </row>
    <row r="400" spans="22:22" s="34" customFormat="1">
      <c r="V400" s="40"/>
    </row>
    <row r="401" spans="22:22" s="34" customFormat="1">
      <c r="V401" s="40"/>
    </row>
    <row r="402" spans="22:22" s="34" customFormat="1">
      <c r="V402" s="40"/>
    </row>
    <row r="403" spans="22:22" s="34" customFormat="1">
      <c r="V403" s="40"/>
    </row>
    <row r="404" spans="22:22" s="34" customFormat="1">
      <c r="V404" s="40"/>
    </row>
    <row r="405" spans="22:22" s="34" customFormat="1">
      <c r="V405" s="40"/>
    </row>
    <row r="406" spans="22:22" s="34" customFormat="1">
      <c r="V406" s="40"/>
    </row>
    <row r="407" spans="22:22" s="34" customFormat="1">
      <c r="V407" s="40"/>
    </row>
    <row r="408" spans="22:22" s="34" customFormat="1">
      <c r="V408" s="40"/>
    </row>
    <row r="409" spans="22:22" s="34" customFormat="1">
      <c r="V409" s="40"/>
    </row>
    <row r="410" spans="22:22" s="34" customFormat="1">
      <c r="V410" s="40"/>
    </row>
    <row r="411" spans="22:22" s="34" customFormat="1">
      <c r="V411" s="40"/>
    </row>
    <row r="412" spans="22:22" s="34" customFormat="1">
      <c r="V412" s="40"/>
    </row>
    <row r="413" spans="22:22" s="34" customFormat="1">
      <c r="V413" s="40"/>
    </row>
    <row r="414" spans="22:22" s="34" customFormat="1">
      <c r="V414" s="40"/>
    </row>
    <row r="415" spans="22:22" s="34" customFormat="1">
      <c r="V415" s="40"/>
    </row>
    <row r="416" spans="22:22" s="34" customFormat="1">
      <c r="V416" s="40"/>
    </row>
    <row r="417" spans="22:22" s="34" customFormat="1">
      <c r="V417" s="40"/>
    </row>
    <row r="418" spans="22:22" s="34" customFormat="1">
      <c r="V418" s="40"/>
    </row>
    <row r="419" spans="22:22" s="34" customFormat="1">
      <c r="V419" s="40"/>
    </row>
    <row r="420" spans="22:22" s="34" customFormat="1">
      <c r="V420" s="40"/>
    </row>
    <row r="421" spans="22:22" s="34" customFormat="1">
      <c r="V421" s="40"/>
    </row>
    <row r="422" spans="22:22" s="34" customFormat="1">
      <c r="V422" s="40"/>
    </row>
    <row r="423" spans="22:22" s="34" customFormat="1">
      <c r="V423" s="40"/>
    </row>
    <row r="424" spans="22:22" s="34" customFormat="1">
      <c r="V424" s="40"/>
    </row>
    <row r="425" spans="22:22" s="34" customFormat="1">
      <c r="V425" s="40"/>
    </row>
    <row r="426" spans="22:22" s="34" customFormat="1">
      <c r="V426" s="40"/>
    </row>
    <row r="427" spans="22:22" s="34" customFormat="1">
      <c r="V427" s="40"/>
    </row>
    <row r="428" spans="22:22" s="34" customFormat="1">
      <c r="V428" s="40"/>
    </row>
    <row r="429" spans="22:22" s="34" customFormat="1">
      <c r="V429" s="40"/>
    </row>
    <row r="430" spans="22:22" s="34" customFormat="1">
      <c r="V430" s="40"/>
    </row>
    <row r="431" spans="22:22" s="34" customFormat="1">
      <c r="V431" s="40"/>
    </row>
    <row r="432" spans="22:22" s="34" customFormat="1">
      <c r="V432" s="40"/>
    </row>
    <row r="433" spans="22:22" s="34" customFormat="1">
      <c r="V433" s="40"/>
    </row>
    <row r="434" spans="22:22" s="34" customFormat="1">
      <c r="V434" s="40"/>
    </row>
    <row r="435" spans="22:22" s="34" customFormat="1">
      <c r="V435" s="40"/>
    </row>
    <row r="436" spans="22:22" s="34" customFormat="1">
      <c r="V436" s="40"/>
    </row>
    <row r="437" spans="22:22" s="34" customFormat="1">
      <c r="V437" s="40"/>
    </row>
    <row r="438" spans="22:22" s="34" customFormat="1">
      <c r="V438" s="40"/>
    </row>
    <row r="439" spans="22:22" s="34" customFormat="1">
      <c r="V439" s="40"/>
    </row>
    <row r="440" spans="22:22" s="34" customFormat="1">
      <c r="V440" s="40"/>
    </row>
    <row r="441" spans="22:22" s="34" customFormat="1">
      <c r="V441" s="40"/>
    </row>
    <row r="442" spans="22:22" s="34" customFormat="1">
      <c r="V442" s="40"/>
    </row>
    <row r="443" spans="22:22" s="34" customFormat="1">
      <c r="V443" s="40"/>
    </row>
    <row r="444" spans="22:22" s="34" customFormat="1">
      <c r="V444" s="40"/>
    </row>
    <row r="445" spans="22:22" s="34" customFormat="1">
      <c r="V445" s="40"/>
    </row>
    <row r="446" spans="22:22" s="34" customFormat="1">
      <c r="V446" s="40"/>
    </row>
    <row r="447" spans="22:22" s="34" customFormat="1">
      <c r="V447" s="40"/>
    </row>
    <row r="448" spans="22:22" s="34" customFormat="1">
      <c r="V448" s="40"/>
    </row>
    <row r="449" spans="22:22" s="34" customFormat="1">
      <c r="V449" s="40"/>
    </row>
    <row r="450" spans="22:22" s="34" customFormat="1">
      <c r="V450" s="40"/>
    </row>
    <row r="451" spans="22:22" s="34" customFormat="1">
      <c r="V451" s="40"/>
    </row>
    <row r="452" spans="22:22" s="34" customFormat="1">
      <c r="V452" s="40"/>
    </row>
    <row r="453" spans="22:22" s="34" customFormat="1">
      <c r="V453" s="40"/>
    </row>
    <row r="454" spans="22:22" s="34" customFormat="1">
      <c r="V454" s="40"/>
    </row>
    <row r="455" spans="22:22" s="34" customFormat="1">
      <c r="V455" s="40"/>
    </row>
    <row r="456" spans="22:22" s="34" customFormat="1">
      <c r="V456" s="40"/>
    </row>
    <row r="457" spans="22:22" s="34" customFormat="1">
      <c r="V457" s="40"/>
    </row>
    <row r="458" spans="22:22" s="34" customFormat="1">
      <c r="V458" s="40"/>
    </row>
    <row r="459" spans="22:22" s="34" customFormat="1">
      <c r="V459" s="40"/>
    </row>
    <row r="460" spans="22:22" s="34" customFormat="1">
      <c r="V460" s="40"/>
    </row>
    <row r="461" spans="22:22" s="34" customFormat="1">
      <c r="V461" s="40"/>
    </row>
    <row r="462" spans="22:22" s="34" customFormat="1">
      <c r="V462" s="40"/>
    </row>
    <row r="463" spans="22:22" s="34" customFormat="1">
      <c r="V463" s="40"/>
    </row>
    <row r="464" spans="22:22" s="34" customFormat="1">
      <c r="V464" s="40"/>
    </row>
    <row r="465" spans="22:22" s="34" customFormat="1">
      <c r="V465" s="40"/>
    </row>
    <row r="466" spans="22:22" s="34" customFormat="1">
      <c r="V466" s="40"/>
    </row>
    <row r="467" spans="22:22" s="34" customFormat="1">
      <c r="V467" s="40"/>
    </row>
    <row r="468" spans="22:22" s="34" customFormat="1">
      <c r="V468" s="40"/>
    </row>
    <row r="469" spans="22:22" s="34" customFormat="1">
      <c r="V469" s="40"/>
    </row>
    <row r="470" spans="22:22" s="34" customFormat="1">
      <c r="V470" s="40"/>
    </row>
    <row r="471" spans="22:22" s="34" customFormat="1">
      <c r="V471" s="40"/>
    </row>
    <row r="472" spans="22:22" s="34" customFormat="1">
      <c r="V472" s="40"/>
    </row>
    <row r="473" spans="22:22" s="34" customFormat="1">
      <c r="V473" s="40"/>
    </row>
    <row r="474" spans="22:22" s="34" customFormat="1">
      <c r="V474" s="40"/>
    </row>
    <row r="475" spans="22:22" s="34" customFormat="1">
      <c r="V475" s="40"/>
    </row>
    <row r="476" spans="22:22" s="34" customFormat="1">
      <c r="V476" s="40"/>
    </row>
    <row r="477" spans="22:22" s="34" customFormat="1">
      <c r="V477" s="40"/>
    </row>
    <row r="478" spans="22:22" s="34" customFormat="1">
      <c r="V478" s="40"/>
    </row>
    <row r="479" spans="22:22" s="34" customFormat="1">
      <c r="V479" s="40"/>
    </row>
    <row r="480" spans="22:22" s="34" customFormat="1">
      <c r="V480" s="40"/>
    </row>
    <row r="481" spans="22:22" s="34" customFormat="1">
      <c r="V481" s="40"/>
    </row>
    <row r="482" spans="22:22" s="34" customFormat="1">
      <c r="V482" s="40"/>
    </row>
    <row r="483" spans="22:22" s="34" customFormat="1">
      <c r="V483" s="40"/>
    </row>
    <row r="484" spans="22:22" s="34" customFormat="1">
      <c r="V484" s="40"/>
    </row>
    <row r="485" spans="22:22" s="34" customFormat="1">
      <c r="V485" s="40"/>
    </row>
    <row r="486" spans="22:22" s="34" customFormat="1">
      <c r="V486" s="40"/>
    </row>
    <row r="487" spans="22:22" s="34" customFormat="1">
      <c r="V487" s="40"/>
    </row>
    <row r="488" spans="22:22" s="34" customFormat="1">
      <c r="V488" s="40"/>
    </row>
    <row r="489" spans="22:22" s="34" customFormat="1">
      <c r="V489" s="40"/>
    </row>
    <row r="490" spans="22:22" s="34" customFormat="1">
      <c r="V490" s="40"/>
    </row>
    <row r="491" spans="22:22" s="34" customFormat="1">
      <c r="V491" s="40"/>
    </row>
    <row r="492" spans="22:22" s="34" customFormat="1">
      <c r="V492" s="40"/>
    </row>
    <row r="493" spans="22:22" s="34" customFormat="1">
      <c r="V493" s="40"/>
    </row>
    <row r="494" spans="22:22" s="34" customFormat="1">
      <c r="V494" s="40"/>
    </row>
    <row r="495" spans="22:22" s="34" customFormat="1">
      <c r="V495" s="40"/>
    </row>
    <row r="496" spans="22:22" s="34" customFormat="1">
      <c r="V496" s="40"/>
    </row>
    <row r="497" spans="22:22" s="34" customFormat="1">
      <c r="V497" s="40"/>
    </row>
    <row r="498" spans="22:22" s="34" customFormat="1">
      <c r="V498" s="40"/>
    </row>
    <row r="499" spans="22:22" s="34" customFormat="1">
      <c r="V499" s="40"/>
    </row>
    <row r="500" spans="22:22" s="34" customFormat="1">
      <c r="V500" s="40"/>
    </row>
    <row r="501" spans="22:22" s="34" customFormat="1">
      <c r="V501" s="40"/>
    </row>
    <row r="502" spans="22:22" s="34" customFormat="1">
      <c r="V502" s="40"/>
    </row>
    <row r="503" spans="22:22" s="34" customFormat="1">
      <c r="V503" s="40"/>
    </row>
    <row r="504" spans="22:22" s="34" customFormat="1">
      <c r="V504" s="40"/>
    </row>
    <row r="505" spans="22:22" s="34" customFormat="1">
      <c r="V505" s="40"/>
    </row>
    <row r="506" spans="22:22" s="34" customFormat="1">
      <c r="V506" s="40"/>
    </row>
    <row r="507" spans="22:22" s="34" customFormat="1">
      <c r="V507" s="40"/>
    </row>
    <row r="508" spans="22:22" s="34" customFormat="1">
      <c r="V508" s="40"/>
    </row>
    <row r="509" spans="22:22" s="34" customFormat="1">
      <c r="V509" s="40"/>
    </row>
    <row r="510" spans="22:22" s="34" customFormat="1">
      <c r="V510" s="40"/>
    </row>
    <row r="511" spans="22:22" s="34" customFormat="1">
      <c r="V511" s="40"/>
    </row>
    <row r="512" spans="22:22" s="34" customFormat="1">
      <c r="V512" s="40"/>
    </row>
    <row r="513" spans="22:22" s="34" customFormat="1">
      <c r="V513" s="40"/>
    </row>
    <row r="514" spans="22:22" s="34" customFormat="1">
      <c r="V514" s="40"/>
    </row>
    <row r="515" spans="22:22" s="34" customFormat="1">
      <c r="V515" s="40"/>
    </row>
    <row r="516" spans="22:22" s="34" customFormat="1">
      <c r="V516" s="40"/>
    </row>
    <row r="517" spans="22:22" s="34" customFormat="1">
      <c r="V517" s="40"/>
    </row>
    <row r="518" spans="22:22" s="34" customFormat="1">
      <c r="V518" s="40"/>
    </row>
    <row r="519" spans="22:22" s="34" customFormat="1">
      <c r="V519" s="40"/>
    </row>
    <row r="520" spans="22:22" s="34" customFormat="1">
      <c r="V520" s="40"/>
    </row>
    <row r="521" spans="22:22" s="34" customFormat="1">
      <c r="V521" s="40"/>
    </row>
    <row r="522" spans="22:22" s="34" customFormat="1">
      <c r="V522" s="40"/>
    </row>
    <row r="523" spans="22:22" s="34" customFormat="1">
      <c r="V523" s="40"/>
    </row>
    <row r="524" spans="22:22" s="34" customFormat="1">
      <c r="V524" s="40"/>
    </row>
    <row r="525" spans="22:22" s="34" customFormat="1">
      <c r="V525" s="40"/>
    </row>
    <row r="526" spans="22:22" s="34" customFormat="1">
      <c r="V526" s="40"/>
    </row>
    <row r="527" spans="22:22" s="34" customFormat="1">
      <c r="V527" s="40"/>
    </row>
    <row r="528" spans="22:22" s="34" customFormat="1">
      <c r="V528" s="40"/>
    </row>
    <row r="529" spans="22:22" s="34" customFormat="1">
      <c r="V529" s="40"/>
    </row>
    <row r="530" spans="22:22" s="34" customFormat="1">
      <c r="V530" s="40"/>
    </row>
    <row r="531" spans="22:22" s="34" customFormat="1">
      <c r="V531" s="40"/>
    </row>
    <row r="532" spans="22:22" s="34" customFormat="1">
      <c r="V532" s="40"/>
    </row>
    <row r="533" spans="22:22" s="34" customFormat="1">
      <c r="V533" s="40"/>
    </row>
    <row r="534" spans="22:22" s="34" customFormat="1">
      <c r="V534" s="40"/>
    </row>
    <row r="535" spans="22:22" s="34" customFormat="1">
      <c r="V535" s="40"/>
    </row>
    <row r="536" spans="22:22" s="34" customFormat="1">
      <c r="V536" s="40"/>
    </row>
    <row r="537" spans="22:22" s="34" customFormat="1">
      <c r="V537" s="40"/>
    </row>
    <row r="538" spans="22:22" s="34" customFormat="1">
      <c r="V538" s="40"/>
    </row>
    <row r="539" spans="22:22" s="34" customFormat="1">
      <c r="V539" s="40"/>
    </row>
    <row r="540" spans="22:22" s="34" customFormat="1">
      <c r="V540" s="40"/>
    </row>
    <row r="541" spans="22:22" s="34" customFormat="1">
      <c r="V541" s="40"/>
    </row>
    <row r="542" spans="22:22" s="34" customFormat="1">
      <c r="V542" s="40"/>
    </row>
    <row r="543" spans="22:22" s="34" customFormat="1">
      <c r="V543" s="40"/>
    </row>
    <row r="544" spans="22:22" s="34" customFormat="1">
      <c r="V544" s="40"/>
    </row>
    <row r="545" spans="22:22" s="34" customFormat="1">
      <c r="V545" s="40"/>
    </row>
    <row r="546" spans="22:22" s="34" customFormat="1">
      <c r="V546" s="40"/>
    </row>
    <row r="547" spans="22:22" s="34" customFormat="1">
      <c r="V547" s="40"/>
    </row>
    <row r="548" spans="22:22" s="34" customFormat="1">
      <c r="V548" s="40"/>
    </row>
    <row r="549" spans="22:22" s="34" customFormat="1">
      <c r="V549" s="40"/>
    </row>
    <row r="550" spans="22:22" s="34" customFormat="1">
      <c r="V550" s="40"/>
    </row>
    <row r="551" spans="22:22" s="34" customFormat="1">
      <c r="V551" s="40"/>
    </row>
    <row r="552" spans="22:22" s="34" customFormat="1">
      <c r="V552" s="40"/>
    </row>
    <row r="553" spans="22:22" s="34" customFormat="1">
      <c r="V553" s="40"/>
    </row>
    <row r="554" spans="22:22" s="34" customFormat="1">
      <c r="V554" s="40"/>
    </row>
    <row r="555" spans="22:22" s="34" customFormat="1">
      <c r="V555" s="40"/>
    </row>
    <row r="556" spans="22:22" s="34" customFormat="1">
      <c r="V556" s="40"/>
    </row>
    <row r="557" spans="22:22" s="34" customFormat="1">
      <c r="V557" s="40"/>
    </row>
    <row r="558" spans="22:22" s="34" customFormat="1">
      <c r="V558" s="40"/>
    </row>
    <row r="559" spans="22:22" s="34" customFormat="1">
      <c r="V559" s="40"/>
    </row>
    <row r="560" spans="22:22" s="34" customFormat="1">
      <c r="V560" s="40"/>
    </row>
    <row r="561" spans="22:22" s="34" customFormat="1">
      <c r="V561" s="40"/>
    </row>
    <row r="562" spans="22:22" s="34" customFormat="1">
      <c r="V562" s="40"/>
    </row>
    <row r="563" spans="22:22" s="34" customFormat="1">
      <c r="V563" s="40"/>
    </row>
    <row r="564" spans="22:22" s="34" customFormat="1">
      <c r="V564" s="40"/>
    </row>
    <row r="565" spans="22:22" s="34" customFormat="1">
      <c r="V565" s="40"/>
    </row>
    <row r="566" spans="22:22" s="34" customFormat="1">
      <c r="V566" s="40"/>
    </row>
    <row r="567" spans="22:22" s="34" customFormat="1">
      <c r="V567" s="40"/>
    </row>
    <row r="568" spans="22:22" s="34" customFormat="1">
      <c r="V568" s="40"/>
    </row>
    <row r="569" spans="22:22" s="34" customFormat="1">
      <c r="V569" s="40"/>
    </row>
    <row r="570" spans="22:22" s="34" customFormat="1">
      <c r="V570" s="40"/>
    </row>
    <row r="571" spans="22:22" s="34" customFormat="1">
      <c r="V571" s="40"/>
    </row>
    <row r="572" spans="22:22" s="34" customFormat="1">
      <c r="V572" s="40"/>
    </row>
    <row r="573" spans="22:22" s="34" customFormat="1">
      <c r="V573" s="40"/>
    </row>
    <row r="574" spans="22:22" s="34" customFormat="1">
      <c r="V574" s="40"/>
    </row>
    <row r="575" spans="22:22" s="34" customFormat="1">
      <c r="V575" s="40"/>
    </row>
    <row r="576" spans="22:22" s="34" customFormat="1">
      <c r="V576" s="40"/>
    </row>
    <row r="577" spans="22:22" s="34" customFormat="1">
      <c r="V577" s="40"/>
    </row>
    <row r="578" spans="22:22" s="34" customFormat="1">
      <c r="V578" s="40"/>
    </row>
    <row r="579" spans="22:22" s="34" customFormat="1">
      <c r="V579" s="40"/>
    </row>
    <row r="580" spans="22:22" s="34" customFormat="1">
      <c r="V580" s="40"/>
    </row>
    <row r="581" spans="22:22" s="34" customFormat="1">
      <c r="V581" s="40"/>
    </row>
    <row r="582" spans="22:22" s="34" customFormat="1">
      <c r="V582" s="40"/>
    </row>
    <row r="583" spans="22:22" s="34" customFormat="1">
      <c r="V583" s="40"/>
    </row>
    <row r="584" spans="22:22" s="34" customFormat="1">
      <c r="V584" s="40"/>
    </row>
    <row r="585" spans="22:22" s="34" customFormat="1">
      <c r="V585" s="40"/>
    </row>
    <row r="586" spans="22:22" s="34" customFormat="1">
      <c r="V586" s="40"/>
    </row>
    <row r="587" spans="22:22" s="34" customFormat="1">
      <c r="V587" s="40"/>
    </row>
    <row r="588" spans="22:22" s="34" customFormat="1">
      <c r="V588" s="40"/>
    </row>
    <row r="589" spans="22:22" s="34" customFormat="1">
      <c r="V589" s="40"/>
    </row>
    <row r="590" spans="22:22" s="34" customFormat="1">
      <c r="V590" s="40"/>
    </row>
    <row r="591" spans="22:22" s="34" customFormat="1">
      <c r="V591" s="40"/>
    </row>
    <row r="592" spans="22:22" s="34" customFormat="1">
      <c r="V592" s="40"/>
    </row>
    <row r="593" spans="22:22" s="34" customFormat="1">
      <c r="V593" s="40"/>
    </row>
    <row r="594" spans="22:22" s="34" customFormat="1">
      <c r="V594" s="40"/>
    </row>
    <row r="595" spans="22:22" s="34" customFormat="1">
      <c r="V595" s="40"/>
    </row>
    <row r="596" spans="22:22" s="34" customFormat="1">
      <c r="V596" s="40"/>
    </row>
    <row r="597" spans="22:22" s="34" customFormat="1">
      <c r="V597" s="40"/>
    </row>
    <row r="598" spans="22:22" s="34" customFormat="1">
      <c r="V598" s="40"/>
    </row>
    <row r="599" spans="22:22" s="34" customFormat="1">
      <c r="V599" s="40"/>
    </row>
    <row r="600" spans="22:22" s="34" customFormat="1">
      <c r="V600" s="40"/>
    </row>
    <row r="601" spans="22:22" s="34" customFormat="1">
      <c r="V601" s="40"/>
    </row>
    <row r="602" spans="22:22" s="34" customFormat="1">
      <c r="V602" s="40"/>
    </row>
    <row r="603" spans="22:22" s="34" customFormat="1">
      <c r="V603" s="40"/>
    </row>
    <row r="604" spans="22:22" s="34" customFormat="1">
      <c r="V604" s="40"/>
    </row>
    <row r="605" spans="22:22" s="34" customFormat="1">
      <c r="V605" s="40"/>
    </row>
    <row r="606" spans="22:22" s="34" customFormat="1">
      <c r="V606" s="40"/>
    </row>
    <row r="607" spans="22:22" s="34" customFormat="1">
      <c r="V607" s="40"/>
    </row>
    <row r="608" spans="22:22" s="34" customFormat="1">
      <c r="V608" s="40"/>
    </row>
    <row r="609" spans="22:22" s="34" customFormat="1">
      <c r="V609" s="40"/>
    </row>
    <row r="610" spans="22:22" s="34" customFormat="1">
      <c r="V610" s="40"/>
    </row>
    <row r="611" spans="22:22" s="34" customFormat="1">
      <c r="V611" s="40"/>
    </row>
    <row r="612" spans="22:22" s="34" customFormat="1">
      <c r="V612" s="40"/>
    </row>
    <row r="613" spans="22:22" s="34" customFormat="1">
      <c r="V613" s="40"/>
    </row>
    <row r="614" spans="22:22" s="34" customFormat="1">
      <c r="V614" s="40"/>
    </row>
    <row r="615" spans="22:22" s="34" customFormat="1">
      <c r="V615" s="40"/>
    </row>
    <row r="616" spans="22:22" s="34" customFormat="1">
      <c r="V616" s="40"/>
    </row>
    <row r="617" spans="22:22" s="34" customFormat="1">
      <c r="V617" s="40"/>
    </row>
    <row r="618" spans="22:22" s="34" customFormat="1">
      <c r="V618" s="40"/>
    </row>
    <row r="619" spans="22:22" s="34" customFormat="1">
      <c r="V619" s="40"/>
    </row>
    <row r="620" spans="22:22" s="34" customFormat="1">
      <c r="V620" s="40"/>
    </row>
    <row r="621" spans="22:22" s="34" customFormat="1">
      <c r="V621" s="40"/>
    </row>
    <row r="622" spans="22:22" s="34" customFormat="1">
      <c r="V622" s="40"/>
    </row>
    <row r="623" spans="22:22" s="34" customFormat="1">
      <c r="V623" s="40"/>
    </row>
    <row r="624" spans="22:22" s="34" customFormat="1">
      <c r="V624" s="40"/>
    </row>
    <row r="625" spans="22:22" s="34" customFormat="1">
      <c r="V625" s="40"/>
    </row>
    <row r="626" spans="22:22" s="34" customFormat="1">
      <c r="V626" s="40"/>
    </row>
    <row r="627" spans="22:22" s="34" customFormat="1">
      <c r="V627" s="40"/>
    </row>
    <row r="628" spans="22:22" s="34" customFormat="1">
      <c r="V628" s="40"/>
    </row>
    <row r="629" spans="22:22" s="34" customFormat="1">
      <c r="V629" s="40"/>
    </row>
    <row r="630" spans="22:22" s="34" customFormat="1">
      <c r="V630" s="40"/>
    </row>
    <row r="631" spans="22:22" s="34" customFormat="1">
      <c r="V631" s="40"/>
    </row>
    <row r="632" spans="22:22" s="34" customFormat="1">
      <c r="V632" s="40"/>
    </row>
    <row r="633" spans="22:22" s="34" customFormat="1">
      <c r="V633" s="40"/>
    </row>
    <row r="634" spans="22:22" s="34" customFormat="1">
      <c r="V634" s="40"/>
    </row>
    <row r="635" spans="22:22" s="34" customFormat="1">
      <c r="V635" s="40"/>
    </row>
    <row r="636" spans="22:22" s="34" customFormat="1">
      <c r="V636" s="40"/>
    </row>
    <row r="637" spans="22:22" s="34" customFormat="1">
      <c r="V637" s="40"/>
    </row>
    <row r="638" spans="22:22" s="34" customFormat="1">
      <c r="V638" s="40"/>
    </row>
    <row r="639" spans="22:22" s="34" customFormat="1">
      <c r="V639" s="40"/>
    </row>
    <row r="640" spans="22:22" s="34" customFormat="1">
      <c r="V640" s="40"/>
    </row>
    <row r="641" spans="22:22" s="34" customFormat="1">
      <c r="V641" s="40"/>
    </row>
    <row r="642" spans="22:22" s="34" customFormat="1">
      <c r="V642" s="40"/>
    </row>
    <row r="643" spans="22:22" s="34" customFormat="1">
      <c r="V643" s="40"/>
    </row>
    <row r="644" spans="22:22" s="34" customFormat="1">
      <c r="V644" s="40"/>
    </row>
    <row r="645" spans="22:22" s="34" customFormat="1">
      <c r="V645" s="40"/>
    </row>
    <row r="646" spans="22:22" s="34" customFormat="1">
      <c r="V646" s="40"/>
    </row>
    <row r="647" spans="22:22" s="34" customFormat="1">
      <c r="V647" s="40"/>
    </row>
    <row r="648" spans="22:22" s="34" customFormat="1">
      <c r="V648" s="40"/>
    </row>
    <row r="649" spans="22:22" s="34" customFormat="1">
      <c r="V649" s="40"/>
    </row>
    <row r="650" spans="22:22" s="34" customFormat="1">
      <c r="V650" s="40"/>
    </row>
    <row r="651" spans="22:22" s="34" customFormat="1">
      <c r="V651" s="40"/>
    </row>
    <row r="652" spans="22:22" s="34" customFormat="1">
      <c r="V652" s="40"/>
    </row>
    <row r="653" spans="22:22" s="34" customFormat="1">
      <c r="V653" s="40"/>
    </row>
    <row r="654" spans="22:22" s="34" customFormat="1">
      <c r="V654" s="40"/>
    </row>
    <row r="655" spans="22:22" s="34" customFormat="1">
      <c r="V655" s="40"/>
    </row>
    <row r="656" spans="22:22" s="34" customFormat="1">
      <c r="V656" s="40"/>
    </row>
    <row r="657" spans="22:22" s="34" customFormat="1">
      <c r="V657" s="40"/>
    </row>
    <row r="658" spans="22:22" s="34" customFormat="1">
      <c r="V658" s="40"/>
    </row>
    <row r="659" spans="22:22" s="34" customFormat="1">
      <c r="V659" s="40"/>
    </row>
    <row r="660" spans="22:22" s="34" customFormat="1">
      <c r="V660" s="40"/>
    </row>
    <row r="661" spans="22:22" s="34" customFormat="1">
      <c r="V661" s="40"/>
    </row>
    <row r="662" spans="22:22" s="34" customFormat="1">
      <c r="V662" s="40"/>
    </row>
    <row r="663" spans="22:22" s="34" customFormat="1">
      <c r="V663" s="40"/>
    </row>
    <row r="664" spans="22:22" s="34" customFormat="1">
      <c r="V664" s="40"/>
    </row>
    <row r="665" spans="22:22" s="34" customFormat="1">
      <c r="V665" s="40"/>
    </row>
    <row r="666" spans="22:22" s="34" customFormat="1">
      <c r="V666" s="40"/>
    </row>
    <row r="667" spans="22:22" s="34" customFormat="1">
      <c r="V667" s="40"/>
    </row>
    <row r="668" spans="22:22" s="34" customFormat="1">
      <c r="V668" s="40"/>
    </row>
    <row r="669" spans="22:22" s="34" customFormat="1">
      <c r="V669" s="40"/>
    </row>
    <row r="670" spans="22:22" s="34" customFormat="1">
      <c r="V670" s="40"/>
    </row>
    <row r="671" spans="22:22" s="34" customFormat="1">
      <c r="V671" s="40"/>
    </row>
    <row r="672" spans="22:22" s="34" customFormat="1">
      <c r="V672" s="40"/>
    </row>
    <row r="673" spans="22:22" s="34" customFormat="1">
      <c r="V673" s="40"/>
    </row>
    <row r="674" spans="22:22" s="34" customFormat="1">
      <c r="V674" s="40"/>
    </row>
    <row r="675" spans="22:22" s="34" customFormat="1">
      <c r="V675" s="40"/>
    </row>
    <row r="676" spans="22:22" s="34" customFormat="1">
      <c r="V676" s="40"/>
    </row>
    <row r="677" spans="22:22" s="34" customFormat="1">
      <c r="V677" s="40"/>
    </row>
    <row r="678" spans="22:22" s="34" customFormat="1">
      <c r="V678" s="40"/>
    </row>
    <row r="679" spans="22:22" s="34" customFormat="1">
      <c r="V679" s="40"/>
    </row>
    <row r="680" spans="22:22" s="34" customFormat="1">
      <c r="V680" s="40"/>
    </row>
    <row r="681" spans="22:22" s="34" customFormat="1">
      <c r="V681" s="40"/>
    </row>
    <row r="682" spans="22:22" s="34" customFormat="1">
      <c r="V682" s="40"/>
    </row>
    <row r="683" spans="22:22" s="34" customFormat="1">
      <c r="V683" s="40"/>
    </row>
    <row r="684" spans="22:22" s="34" customFormat="1">
      <c r="V684" s="40"/>
    </row>
    <row r="685" spans="22:22" s="34" customFormat="1">
      <c r="V685" s="40"/>
    </row>
    <row r="686" spans="22:22" s="34" customFormat="1">
      <c r="V686" s="40"/>
    </row>
    <row r="687" spans="22:22" s="34" customFormat="1">
      <c r="V687" s="40"/>
    </row>
    <row r="688" spans="22:22" s="34" customFormat="1">
      <c r="V688" s="40"/>
    </row>
    <row r="689" spans="22:22" s="34" customFormat="1">
      <c r="V689" s="40"/>
    </row>
    <row r="690" spans="22:22" s="34" customFormat="1">
      <c r="V690" s="40"/>
    </row>
    <row r="691" spans="22:22" s="34" customFormat="1">
      <c r="V691" s="40"/>
    </row>
    <row r="692" spans="22:22" s="34" customFormat="1">
      <c r="V692" s="40"/>
    </row>
    <row r="693" spans="22:22" s="34" customFormat="1">
      <c r="V693" s="40"/>
    </row>
    <row r="694" spans="22:22" s="34" customFormat="1">
      <c r="V694" s="40"/>
    </row>
    <row r="695" spans="22:22" s="34" customFormat="1">
      <c r="V695" s="40"/>
    </row>
    <row r="696" spans="22:22" s="34" customFormat="1">
      <c r="V696" s="40"/>
    </row>
    <row r="697" spans="22:22" s="34" customFormat="1">
      <c r="V697" s="40"/>
    </row>
    <row r="698" spans="22:22" s="34" customFormat="1">
      <c r="V698" s="40"/>
    </row>
    <row r="699" spans="22:22" s="34" customFormat="1">
      <c r="V699" s="40"/>
    </row>
    <row r="700" spans="22:22" s="34" customFormat="1">
      <c r="V700" s="40"/>
    </row>
    <row r="701" spans="22:22" s="34" customFormat="1">
      <c r="V701" s="40"/>
    </row>
    <row r="702" spans="22:22" s="34" customFormat="1">
      <c r="V702" s="40"/>
    </row>
    <row r="703" spans="22:22" s="34" customFormat="1">
      <c r="V703" s="40"/>
    </row>
    <row r="704" spans="22:22" s="34" customFormat="1">
      <c r="V704" s="40"/>
    </row>
    <row r="705" spans="22:22" s="34" customFormat="1">
      <c r="V705" s="40"/>
    </row>
    <row r="706" spans="22:22" s="34" customFormat="1">
      <c r="V706" s="40"/>
    </row>
    <row r="707" spans="22:22" s="34" customFormat="1">
      <c r="V707" s="40"/>
    </row>
    <row r="708" spans="22:22" s="34" customFormat="1">
      <c r="V708" s="40"/>
    </row>
    <row r="709" spans="22:22" s="34" customFormat="1">
      <c r="V709" s="40"/>
    </row>
    <row r="710" spans="22:22" s="34" customFormat="1">
      <c r="V710" s="40"/>
    </row>
    <row r="711" spans="22:22" s="34" customFormat="1">
      <c r="V711" s="40"/>
    </row>
    <row r="712" spans="22:22" s="34" customFormat="1">
      <c r="V712" s="40"/>
    </row>
    <row r="713" spans="22:22" s="34" customFormat="1">
      <c r="V713" s="40"/>
    </row>
    <row r="714" spans="22:22" s="34" customFormat="1">
      <c r="V714" s="40"/>
    </row>
    <row r="715" spans="22:22" s="34" customFormat="1">
      <c r="V715" s="40"/>
    </row>
    <row r="716" spans="22:22" s="34" customFormat="1">
      <c r="V716" s="40"/>
    </row>
    <row r="717" spans="22:22" s="34" customFormat="1">
      <c r="V717" s="40"/>
    </row>
    <row r="718" spans="22:22" s="34" customFormat="1">
      <c r="V718" s="40"/>
    </row>
    <row r="719" spans="22:22" s="34" customFormat="1">
      <c r="V719" s="40"/>
    </row>
    <row r="720" spans="22:22" s="34" customFormat="1">
      <c r="V720" s="40"/>
    </row>
    <row r="721" spans="22:22" s="34" customFormat="1">
      <c r="V721" s="40"/>
    </row>
    <row r="722" spans="22:22" s="34" customFormat="1">
      <c r="V722" s="40"/>
    </row>
    <row r="723" spans="22:22" s="34" customFormat="1">
      <c r="V723" s="40"/>
    </row>
    <row r="724" spans="22:22" s="34" customFormat="1">
      <c r="V724" s="40"/>
    </row>
    <row r="725" spans="22:22" s="34" customFormat="1">
      <c r="V725" s="40"/>
    </row>
    <row r="726" spans="22:22" s="34" customFormat="1">
      <c r="V726" s="40"/>
    </row>
    <row r="727" spans="22:22" s="34" customFormat="1">
      <c r="V727" s="40"/>
    </row>
    <row r="728" spans="22:22" s="34" customFormat="1">
      <c r="V728" s="40"/>
    </row>
    <row r="729" spans="22:22" s="34" customFormat="1">
      <c r="V729" s="40"/>
    </row>
    <row r="730" spans="22:22" s="34" customFormat="1">
      <c r="V730" s="40"/>
    </row>
    <row r="731" spans="22:22" s="34" customFormat="1">
      <c r="V731" s="40"/>
    </row>
    <row r="732" spans="22:22" s="34" customFormat="1">
      <c r="V732" s="40"/>
    </row>
    <row r="733" spans="22:22" s="34" customFormat="1">
      <c r="V733" s="40"/>
    </row>
    <row r="734" spans="22:22" s="34" customFormat="1">
      <c r="V734" s="40"/>
    </row>
    <row r="735" spans="22:22" s="34" customFormat="1">
      <c r="V735" s="40"/>
    </row>
    <row r="736" spans="22:22" s="34" customFormat="1">
      <c r="V736" s="40"/>
    </row>
    <row r="737" spans="22:22" s="34" customFormat="1">
      <c r="V737" s="40"/>
    </row>
    <row r="738" spans="22:22" s="34" customFormat="1">
      <c r="V738" s="40"/>
    </row>
    <row r="739" spans="22:22" s="34" customFormat="1">
      <c r="V739" s="40"/>
    </row>
    <row r="740" spans="22:22" s="34" customFormat="1">
      <c r="V740" s="40"/>
    </row>
    <row r="741" spans="22:22" s="34" customFormat="1">
      <c r="V741" s="40"/>
    </row>
    <row r="742" spans="22:22" s="34" customFormat="1">
      <c r="V742" s="40"/>
    </row>
    <row r="743" spans="22:22" s="34" customFormat="1">
      <c r="V743" s="40"/>
    </row>
    <row r="744" spans="22:22" s="34" customFormat="1">
      <c r="V744" s="40"/>
    </row>
    <row r="745" spans="22:22" s="34" customFormat="1">
      <c r="V745" s="40"/>
    </row>
    <row r="746" spans="22:22" s="34" customFormat="1">
      <c r="V746" s="40"/>
    </row>
    <row r="747" spans="22:22" s="34" customFormat="1">
      <c r="V747" s="40"/>
    </row>
    <row r="748" spans="22:22" s="34" customFormat="1">
      <c r="V748" s="40"/>
    </row>
    <row r="749" spans="22:22" s="34" customFormat="1">
      <c r="V749" s="40"/>
    </row>
    <row r="750" spans="22:22" s="34" customFormat="1">
      <c r="V750" s="40"/>
    </row>
    <row r="751" spans="22:22" s="34" customFormat="1">
      <c r="V751" s="40"/>
    </row>
    <row r="752" spans="22:22" s="34" customFormat="1">
      <c r="V752" s="40"/>
    </row>
    <row r="753" spans="22:22" s="34" customFormat="1">
      <c r="V753" s="40"/>
    </row>
    <row r="754" spans="22:22" s="34" customFormat="1">
      <c r="V754" s="40"/>
    </row>
    <row r="755" spans="22:22" s="34" customFormat="1">
      <c r="V755" s="40"/>
    </row>
    <row r="756" spans="22:22" s="34" customFormat="1">
      <c r="V756" s="40"/>
    </row>
    <row r="757" spans="22:22" s="34" customFormat="1">
      <c r="V757" s="40"/>
    </row>
    <row r="758" spans="22:22" s="34" customFormat="1">
      <c r="V758" s="40"/>
    </row>
    <row r="759" spans="22:22" s="34" customFormat="1">
      <c r="V759" s="40"/>
    </row>
    <row r="760" spans="22:22" s="34" customFormat="1">
      <c r="V760" s="40"/>
    </row>
    <row r="761" spans="22:22" s="34" customFormat="1">
      <c r="V761" s="40"/>
    </row>
    <row r="762" spans="22:22" s="34" customFormat="1">
      <c r="V762" s="40"/>
    </row>
    <row r="763" spans="22:22" s="34" customFormat="1">
      <c r="V763" s="40"/>
    </row>
    <row r="764" spans="22:22" s="34" customFormat="1">
      <c r="V764" s="40"/>
    </row>
    <row r="765" spans="22:22" s="34" customFormat="1">
      <c r="V765" s="40"/>
    </row>
    <row r="766" spans="22:22" s="34" customFormat="1">
      <c r="V766" s="40"/>
    </row>
    <row r="767" spans="22:22" s="34" customFormat="1">
      <c r="V767" s="40"/>
    </row>
    <row r="768" spans="22:22" s="34" customFormat="1">
      <c r="V768" s="40"/>
    </row>
    <row r="769" spans="22:22" s="34" customFormat="1">
      <c r="V769" s="40"/>
    </row>
    <row r="770" spans="22:22" s="34" customFormat="1">
      <c r="V770" s="40"/>
    </row>
    <row r="771" spans="22:22" s="34" customFormat="1">
      <c r="V771" s="40"/>
    </row>
    <row r="772" spans="22:22" s="34" customFormat="1">
      <c r="V772" s="40"/>
    </row>
    <row r="773" spans="22:22" s="34" customFormat="1">
      <c r="V773" s="40"/>
    </row>
    <row r="774" spans="22:22" s="34" customFormat="1">
      <c r="V774" s="40"/>
    </row>
    <row r="775" spans="22:22" s="34" customFormat="1">
      <c r="V775" s="40"/>
    </row>
    <row r="776" spans="22:22" s="34" customFormat="1">
      <c r="V776" s="40"/>
    </row>
    <row r="777" spans="22:22" s="34" customFormat="1">
      <c r="V777" s="40"/>
    </row>
    <row r="778" spans="22:22" s="34" customFormat="1">
      <c r="V778" s="40"/>
    </row>
    <row r="779" spans="22:22" s="34" customFormat="1">
      <c r="V779" s="40"/>
    </row>
    <row r="780" spans="22:22" s="34" customFormat="1">
      <c r="V780" s="40"/>
    </row>
    <row r="781" spans="22:22" s="34" customFormat="1">
      <c r="V781" s="40"/>
    </row>
    <row r="782" spans="22:22" s="34" customFormat="1">
      <c r="V782" s="40"/>
    </row>
    <row r="783" spans="22:22" s="34" customFormat="1">
      <c r="V783" s="40"/>
    </row>
    <row r="784" spans="22:22" s="34" customFormat="1">
      <c r="V784" s="40"/>
    </row>
    <row r="785" spans="22:22" s="34" customFormat="1">
      <c r="V785" s="40"/>
    </row>
    <row r="786" spans="22:22" s="34" customFormat="1">
      <c r="V786" s="40"/>
    </row>
    <row r="787" spans="22:22" s="34" customFormat="1">
      <c r="V787" s="40"/>
    </row>
    <row r="788" spans="22:22" s="34" customFormat="1">
      <c r="V788" s="40"/>
    </row>
    <row r="789" spans="22:22" s="34" customFormat="1">
      <c r="V789" s="40"/>
    </row>
    <row r="790" spans="22:22" s="34" customFormat="1">
      <c r="V790" s="40"/>
    </row>
    <row r="791" spans="22:22" s="34" customFormat="1">
      <c r="V791" s="40"/>
    </row>
    <row r="792" spans="22:22" s="34" customFormat="1">
      <c r="V792" s="40"/>
    </row>
    <row r="793" spans="22:22" s="34" customFormat="1">
      <c r="V793" s="40"/>
    </row>
    <row r="794" spans="22:22" s="34" customFormat="1">
      <c r="V794" s="40"/>
    </row>
    <row r="795" spans="22:22" s="34" customFormat="1">
      <c r="V795" s="40"/>
    </row>
    <row r="796" spans="22:22" s="34" customFormat="1">
      <c r="V796" s="40"/>
    </row>
    <row r="797" spans="22:22" s="34" customFormat="1">
      <c r="V797" s="40"/>
    </row>
    <row r="798" spans="22:22" s="34" customFormat="1">
      <c r="V798" s="40"/>
    </row>
    <row r="799" spans="22:22" s="34" customFormat="1">
      <c r="V799" s="40"/>
    </row>
    <row r="800" spans="22:22" s="34" customFormat="1">
      <c r="V800" s="40"/>
    </row>
    <row r="801" spans="22:22" s="34" customFormat="1">
      <c r="V801" s="40"/>
    </row>
    <row r="802" spans="22:22" s="34" customFormat="1">
      <c r="V802" s="40"/>
    </row>
    <row r="803" spans="22:22" s="34" customFormat="1">
      <c r="V803" s="40"/>
    </row>
    <row r="804" spans="22:22" s="34" customFormat="1">
      <c r="V804" s="40"/>
    </row>
    <row r="805" spans="22:22" s="34" customFormat="1">
      <c r="V805" s="40"/>
    </row>
    <row r="806" spans="22:22" s="34" customFormat="1">
      <c r="V806" s="40"/>
    </row>
    <row r="807" spans="22:22" s="34" customFormat="1">
      <c r="V807" s="40"/>
    </row>
    <row r="808" spans="22:22" s="34" customFormat="1">
      <c r="V808" s="40"/>
    </row>
    <row r="809" spans="22:22" s="34" customFormat="1">
      <c r="V809" s="40"/>
    </row>
    <row r="810" spans="22:22" s="34" customFormat="1">
      <c r="V810" s="40"/>
    </row>
    <row r="811" spans="22:22" s="34" customFormat="1">
      <c r="V811" s="40"/>
    </row>
    <row r="812" spans="22:22" s="34" customFormat="1">
      <c r="V812" s="40"/>
    </row>
    <row r="813" spans="22:22" s="34" customFormat="1">
      <c r="V813" s="40"/>
    </row>
    <row r="814" spans="22:22" s="34" customFormat="1">
      <c r="V814" s="40"/>
    </row>
    <row r="815" spans="22:22" s="34" customFormat="1">
      <c r="V815" s="40"/>
    </row>
    <row r="816" spans="22:22" s="34" customFormat="1">
      <c r="V816" s="40"/>
    </row>
    <row r="817" spans="22:22" s="34" customFormat="1">
      <c r="V817" s="40"/>
    </row>
    <row r="818" spans="22:22" s="34" customFormat="1">
      <c r="V818" s="40"/>
    </row>
    <row r="819" spans="22:22" s="34" customFormat="1">
      <c r="V819" s="40"/>
    </row>
    <row r="820" spans="22:22" s="34" customFormat="1">
      <c r="V820" s="40"/>
    </row>
    <row r="821" spans="22:22" s="34" customFormat="1">
      <c r="V821" s="40"/>
    </row>
    <row r="822" spans="22:22" s="34" customFormat="1">
      <c r="V822" s="40"/>
    </row>
    <row r="823" spans="22:22" s="34" customFormat="1">
      <c r="V823" s="40"/>
    </row>
    <row r="824" spans="22:22" s="34" customFormat="1">
      <c r="V824" s="40"/>
    </row>
    <row r="825" spans="22:22" s="34" customFormat="1">
      <c r="V825" s="40"/>
    </row>
    <row r="826" spans="22:22" s="34" customFormat="1">
      <c r="V826" s="40"/>
    </row>
    <row r="827" spans="22:22" s="34" customFormat="1">
      <c r="V827" s="40"/>
    </row>
    <row r="828" spans="22:22" s="34" customFormat="1">
      <c r="V828" s="40"/>
    </row>
    <row r="829" spans="22:22" s="34" customFormat="1">
      <c r="V829" s="40"/>
    </row>
    <row r="830" spans="22:22" s="34" customFormat="1">
      <c r="V830" s="40"/>
    </row>
    <row r="831" spans="22:22" s="34" customFormat="1">
      <c r="V831" s="40"/>
    </row>
    <row r="832" spans="22:22" s="34" customFormat="1">
      <c r="V832" s="40"/>
    </row>
    <row r="833" spans="22:22" s="34" customFormat="1">
      <c r="V833" s="40"/>
    </row>
    <row r="834" spans="22:22" s="34" customFormat="1">
      <c r="V834" s="40"/>
    </row>
    <row r="835" spans="22:22" s="34" customFormat="1">
      <c r="V835" s="40"/>
    </row>
    <row r="836" spans="22:22" s="34" customFormat="1">
      <c r="V836" s="40"/>
    </row>
    <row r="837" spans="22:22" s="34" customFormat="1">
      <c r="V837" s="40"/>
    </row>
    <row r="838" spans="22:22" s="34" customFormat="1">
      <c r="V838" s="40"/>
    </row>
    <row r="839" spans="22:22" s="34" customFormat="1">
      <c r="V839" s="40"/>
    </row>
    <row r="840" spans="22:22" s="34" customFormat="1">
      <c r="V840" s="40"/>
    </row>
    <row r="841" spans="22:22" s="34" customFormat="1">
      <c r="V841" s="40"/>
    </row>
    <row r="842" spans="22:22" s="34" customFormat="1">
      <c r="V842" s="40"/>
    </row>
    <row r="843" spans="22:22" s="34" customFormat="1">
      <c r="V843" s="40"/>
    </row>
    <row r="844" spans="22:22" s="34" customFormat="1">
      <c r="V844" s="40"/>
    </row>
    <row r="845" spans="22:22" s="34" customFormat="1"/>
    <row r="846" spans="22:22" s="34" customFormat="1"/>
    <row r="847" spans="22:22" s="34" customFormat="1"/>
    <row r="848" spans="22:22" s="34" customFormat="1"/>
    <row r="849" s="34" customFormat="1"/>
    <row r="850" s="34" customFormat="1"/>
    <row r="851" s="34" customFormat="1"/>
    <row r="852" s="34" customFormat="1"/>
    <row r="853" s="34" customFormat="1"/>
    <row r="854" s="34" customFormat="1"/>
    <row r="855" s="34" customFormat="1"/>
    <row r="856" s="34" customFormat="1"/>
    <row r="857" s="34" customFormat="1"/>
    <row r="858" s="34" customFormat="1"/>
    <row r="859" s="34" customFormat="1"/>
    <row r="860" s="34" customFormat="1"/>
    <row r="861" s="34" customFormat="1"/>
    <row r="862" s="34" customFormat="1"/>
    <row r="863" s="34" customFormat="1"/>
    <row r="864" s="34" customFormat="1"/>
    <row r="865" s="34" customFormat="1"/>
    <row r="866" s="34" customFormat="1"/>
    <row r="867" s="34" customFormat="1"/>
    <row r="868" s="34" customFormat="1"/>
    <row r="869" s="34" customFormat="1"/>
    <row r="870" s="34" customFormat="1"/>
    <row r="871" s="34" customFormat="1"/>
    <row r="872" s="34" customFormat="1"/>
    <row r="873" s="34" customFormat="1"/>
    <row r="874" s="34" customFormat="1"/>
    <row r="875" s="34" customFormat="1"/>
    <row r="876" s="34" customFormat="1"/>
    <row r="877" s="34" customFormat="1"/>
    <row r="878" s="34" customFormat="1"/>
    <row r="879" s="34" customFormat="1"/>
    <row r="880" s="34" customFormat="1"/>
    <row r="881" s="34" customFormat="1"/>
    <row r="882" s="34" customFormat="1"/>
    <row r="883" s="34" customFormat="1"/>
    <row r="884" s="34" customFormat="1"/>
    <row r="885" s="34" customFormat="1"/>
    <row r="886" s="34" customFormat="1"/>
    <row r="887" s="34" customFormat="1"/>
    <row r="888" s="34" customFormat="1"/>
    <row r="889" s="34" customFormat="1"/>
    <row r="890" s="34" customFormat="1"/>
    <row r="891" s="34" customFormat="1"/>
    <row r="892" s="34" customFormat="1"/>
    <row r="893" s="34" customFormat="1"/>
    <row r="894" s="34" customFormat="1"/>
    <row r="895" s="34" customFormat="1"/>
    <row r="896" s="34" customFormat="1"/>
    <row r="897" s="34" customFormat="1"/>
    <row r="898" s="34" customFormat="1"/>
    <row r="899" s="34" customFormat="1"/>
    <row r="900" s="34" customFormat="1"/>
    <row r="901" s="34" customFormat="1"/>
    <row r="902" s="34" customFormat="1"/>
    <row r="903" s="34" customFormat="1"/>
    <row r="904" s="34" customFormat="1"/>
    <row r="905" s="34" customFormat="1"/>
    <row r="906" s="34" customFormat="1"/>
    <row r="907" s="34" customFormat="1"/>
    <row r="908" s="34" customFormat="1"/>
    <row r="909" s="34" customFormat="1"/>
    <row r="910" s="34" customFormat="1"/>
    <row r="911" s="34" customFormat="1"/>
    <row r="912" s="34" customFormat="1"/>
    <row r="913" s="34" customFormat="1"/>
    <row r="914" s="34" customFormat="1"/>
    <row r="915" s="34" customFormat="1"/>
    <row r="916" s="34" customFormat="1"/>
    <row r="917" s="34" customFormat="1"/>
    <row r="918" s="34" customFormat="1"/>
    <row r="919" s="34" customFormat="1"/>
    <row r="920" s="34" customFormat="1"/>
    <row r="921" s="34" customFormat="1"/>
    <row r="922" s="34" customFormat="1"/>
    <row r="923" s="34" customFormat="1"/>
    <row r="924" s="34" customFormat="1"/>
    <row r="925" s="34" customFormat="1"/>
    <row r="926" s="34" customFormat="1"/>
    <row r="927" s="34" customFormat="1"/>
    <row r="928" s="34" customFormat="1"/>
    <row r="929" s="34" customFormat="1"/>
    <row r="930" s="34" customFormat="1"/>
    <row r="931" s="34" customFormat="1"/>
    <row r="932" s="34" customFormat="1"/>
    <row r="933" s="34" customFormat="1"/>
    <row r="934" s="34" customFormat="1"/>
    <row r="935" s="34" customFormat="1"/>
    <row r="936" s="34" customFormat="1"/>
    <row r="937" s="34" customFormat="1"/>
    <row r="938" s="34" customFormat="1"/>
    <row r="939" s="34" customFormat="1"/>
    <row r="940" s="34" customFormat="1"/>
    <row r="941" s="34" customFormat="1"/>
    <row r="942" s="34" customFormat="1"/>
    <row r="943" s="34" customFormat="1"/>
    <row r="944" s="34" customFormat="1"/>
    <row r="945" s="34" customFormat="1"/>
    <row r="946" s="34" customFormat="1"/>
    <row r="947" s="34" customFormat="1"/>
    <row r="948" s="34" customFormat="1"/>
    <row r="949" s="34" customFormat="1"/>
    <row r="950" s="34" customFormat="1"/>
    <row r="951" s="34" customFormat="1"/>
    <row r="952" s="34" customFormat="1"/>
    <row r="953" s="34" customFormat="1"/>
    <row r="954" s="34" customFormat="1"/>
    <row r="955" s="34" customFormat="1"/>
    <row r="956" s="34" customFormat="1"/>
    <row r="957" s="34" customFormat="1"/>
    <row r="958" s="34" customFormat="1"/>
    <row r="959" s="34" customFormat="1"/>
    <row r="960" s="34" customFormat="1"/>
    <row r="961" s="34" customFormat="1"/>
    <row r="962" s="34" customFormat="1"/>
    <row r="963" s="34" customFormat="1"/>
    <row r="964" s="34" customFormat="1"/>
    <row r="965" s="34" customFormat="1"/>
    <row r="966" s="34" customFormat="1"/>
    <row r="967" s="34" customFormat="1"/>
    <row r="968" s="34" customFormat="1"/>
    <row r="969" s="34" customFormat="1"/>
    <row r="970" s="34" customFormat="1"/>
    <row r="971" s="34" customFormat="1"/>
    <row r="972" s="34" customFormat="1"/>
    <row r="973" s="34" customFormat="1"/>
    <row r="974" s="34" customFormat="1"/>
    <row r="975" s="34" customFormat="1"/>
    <row r="976" s="34" customFormat="1"/>
    <row r="977" s="34" customFormat="1"/>
    <row r="978" s="34" customFormat="1"/>
    <row r="979" s="34" customFormat="1"/>
    <row r="980" s="34" customFormat="1"/>
    <row r="981" s="34" customFormat="1"/>
    <row r="982" s="34" customFormat="1"/>
    <row r="983" s="34" customFormat="1"/>
    <row r="984" s="34" customFormat="1"/>
    <row r="985" s="34" customFormat="1"/>
    <row r="986" s="34" customFormat="1"/>
    <row r="987" s="34" customFormat="1"/>
    <row r="988" s="34" customFormat="1"/>
    <row r="989" s="34" customFormat="1"/>
    <row r="990" s="34" customFormat="1"/>
    <row r="991" s="34" customFormat="1"/>
    <row r="992" s="34" customFormat="1"/>
    <row r="993" s="34" customFormat="1"/>
    <row r="994" s="34" customFormat="1"/>
    <row r="995" s="34" customFormat="1"/>
    <row r="996" s="34" customFormat="1"/>
    <row r="997" s="34" customFormat="1"/>
    <row r="998" s="34" customFormat="1"/>
    <row r="999" s="34" customFormat="1"/>
    <row r="1000" s="34" customFormat="1"/>
    <row r="1001" s="34" customFormat="1"/>
    <row r="1002" s="34" customFormat="1"/>
    <row r="1003" s="34" customFormat="1"/>
    <row r="1004" s="34" customFormat="1"/>
    <row r="1005" s="34" customFormat="1"/>
    <row r="1006" s="34" customFormat="1"/>
    <row r="1007" s="34" customFormat="1"/>
    <row r="1008" s="34" customFormat="1"/>
    <row r="1009" s="34" customFormat="1"/>
    <row r="1010" s="34" customFormat="1"/>
    <row r="1011" s="34" customFormat="1"/>
    <row r="1012" s="34" customFormat="1"/>
    <row r="1013" s="34" customFormat="1"/>
    <row r="1014" s="34" customFormat="1"/>
    <row r="1015" s="34" customFormat="1"/>
    <row r="1016" s="34" customFormat="1"/>
    <row r="1017" s="34" customFormat="1"/>
    <row r="1018" s="34" customFormat="1"/>
    <row r="1019" s="34" customFormat="1"/>
    <row r="1020" s="34" customFormat="1"/>
    <row r="1021" s="34" customFormat="1"/>
    <row r="1022" s="34" customFormat="1"/>
    <row r="1023" s="34" customFormat="1"/>
    <row r="1024" s="34" customFormat="1"/>
    <row r="1025" s="34" customFormat="1"/>
    <row r="1026" s="34" customFormat="1"/>
    <row r="1027" s="34" customFormat="1"/>
    <row r="1028" s="34" customFormat="1"/>
    <row r="1029" s="34" customFormat="1"/>
    <row r="1030" s="34" customFormat="1"/>
    <row r="1031" s="34" customFormat="1"/>
    <row r="1032" s="34" customFormat="1"/>
    <row r="1033" s="34" customFormat="1"/>
    <row r="1034" s="34" customFormat="1"/>
    <row r="1035" s="34" customFormat="1"/>
    <row r="1036" s="34" customFormat="1"/>
    <row r="1037" s="34" customFormat="1"/>
    <row r="1038" s="34" customFormat="1"/>
    <row r="1039" s="34" customFormat="1"/>
    <row r="1040" s="34" customFormat="1"/>
    <row r="1041" s="34" customFormat="1"/>
    <row r="1042" s="34" customFormat="1"/>
    <row r="1043" s="34" customFormat="1"/>
    <row r="1044" s="34" customFormat="1"/>
    <row r="1045" s="34" customFormat="1"/>
    <row r="1046" s="34" customFormat="1"/>
    <row r="1047" s="34" customFormat="1"/>
    <row r="1048" s="34" customFormat="1"/>
    <row r="1049" s="34" customFormat="1"/>
    <row r="1050" s="34" customFormat="1"/>
    <row r="1051" s="34" customFormat="1"/>
    <row r="1052" s="34" customFormat="1"/>
    <row r="1053" s="34" customFormat="1"/>
    <row r="1054" s="34" customFormat="1"/>
    <row r="1055" s="34" customFormat="1"/>
    <row r="1056" s="34" customFormat="1"/>
    <row r="1057" s="34" customFormat="1"/>
    <row r="1058" s="34" customFormat="1"/>
    <row r="1059" s="34" customFormat="1"/>
    <row r="1060" s="34" customFormat="1"/>
    <row r="1061" s="34" customFormat="1"/>
    <row r="1062" s="34" customFormat="1"/>
    <row r="1063" s="34" customFormat="1"/>
    <row r="1064" s="34" customFormat="1"/>
    <row r="1065" s="34" customFormat="1"/>
    <row r="1066" s="34" customFormat="1"/>
    <row r="1067" s="34" customFormat="1"/>
    <row r="1068" s="34" customFormat="1"/>
    <row r="1069" s="34" customFormat="1"/>
    <row r="1070" s="34" customFormat="1"/>
    <row r="1071" s="34" customFormat="1"/>
    <row r="1072" s="34" customFormat="1"/>
    <row r="1073" s="34" customFormat="1"/>
    <row r="1074" s="34" customFormat="1"/>
    <row r="1075" s="34" customFormat="1"/>
    <row r="1076" s="34" customFormat="1"/>
    <row r="1077" s="34" customFormat="1"/>
    <row r="1078" s="34" customFormat="1"/>
    <row r="1079" s="34" customFormat="1"/>
    <row r="1080" s="34" customFormat="1"/>
    <row r="1081" s="34" customFormat="1"/>
    <row r="1082" s="34" customFormat="1"/>
    <row r="1083" s="34" customFormat="1"/>
    <row r="1084" s="34" customFormat="1"/>
    <row r="1085" s="34" customFormat="1"/>
    <row r="1086" s="34" customFormat="1"/>
    <row r="1087" s="34" customFormat="1"/>
    <row r="1088" s="34" customFormat="1"/>
    <row r="1089" s="34" customFormat="1"/>
    <row r="1090" s="34" customFormat="1"/>
    <row r="1091" s="34" customFormat="1"/>
    <row r="1092" s="34" customFormat="1"/>
    <row r="1093" s="34" customFormat="1"/>
    <row r="1094" s="34" customFormat="1"/>
    <row r="1095" s="34" customFormat="1"/>
    <row r="1096" s="34" customFormat="1"/>
    <row r="1097" s="34" customFormat="1"/>
    <row r="1098" s="34" customFormat="1"/>
    <row r="1099" s="34" customFormat="1"/>
    <row r="1100" s="34" customFormat="1"/>
    <row r="1101" s="34" customFormat="1"/>
    <row r="1102" s="34" customFormat="1"/>
    <row r="1103" s="34" customFormat="1"/>
    <row r="1104" s="34" customFormat="1"/>
    <row r="1105" s="34" customFormat="1"/>
    <row r="1106" s="34" customFormat="1"/>
    <row r="1107" s="34" customFormat="1"/>
    <row r="1108" s="34" customFormat="1"/>
    <row r="1109" s="34" customFormat="1"/>
    <row r="1110" s="34" customFormat="1"/>
    <row r="1111" s="34" customFormat="1"/>
    <row r="1112" s="34" customFormat="1"/>
    <row r="1113" s="34" customFormat="1"/>
    <row r="1114" s="34" customFormat="1"/>
    <row r="1115" s="34" customFormat="1"/>
    <row r="1116" s="34" customFormat="1"/>
    <row r="1117" s="34" customFormat="1"/>
    <row r="1118" s="34" customFormat="1"/>
    <row r="1119" s="34" customFormat="1"/>
    <row r="1120" s="34" customFormat="1"/>
    <row r="1121" s="34" customFormat="1"/>
    <row r="1122" s="34" customFormat="1"/>
    <row r="1123" s="34" customFormat="1"/>
    <row r="1124" s="34" customFormat="1"/>
    <row r="1125" s="34" customFormat="1"/>
    <row r="1126" s="34" customFormat="1"/>
    <row r="1127" s="34" customFormat="1"/>
    <row r="1128" s="34" customFormat="1"/>
    <row r="1129" s="34" customFormat="1"/>
    <row r="1130" s="34" customFormat="1"/>
    <row r="1131" s="34" customFormat="1"/>
    <row r="1132" s="34" customFormat="1"/>
    <row r="1133" s="34" customFormat="1"/>
    <row r="1134" s="34" customFormat="1"/>
    <row r="1135" s="34" customFormat="1"/>
    <row r="1136" s="34" customFormat="1"/>
    <row r="1137" s="34" customFormat="1"/>
    <row r="1138" s="34" customFormat="1"/>
    <row r="1139" s="34" customFormat="1"/>
    <row r="1140" s="34" customFormat="1"/>
    <row r="1141" s="34" customFormat="1"/>
    <row r="1142" s="34" customFormat="1"/>
    <row r="1143" s="34" customFormat="1"/>
    <row r="1144" s="34" customFormat="1"/>
    <row r="1145" s="34" customFormat="1"/>
    <row r="1146" s="34" customFormat="1"/>
    <row r="1147" s="34" customFormat="1"/>
    <row r="1148" s="34" customFormat="1"/>
    <row r="1149" s="34" customFormat="1"/>
    <row r="1150" s="34" customFormat="1"/>
    <row r="1151" s="34" customFormat="1"/>
    <row r="1152" s="34" customFormat="1"/>
    <row r="1153" s="34" customFormat="1"/>
    <row r="1154" s="34" customFormat="1"/>
    <row r="1155" s="34" customFormat="1"/>
    <row r="1156" s="34" customFormat="1"/>
    <row r="1157" s="34" customFormat="1"/>
    <row r="1158" s="34" customFormat="1"/>
    <row r="1159" s="34" customFormat="1"/>
    <row r="1160" s="34" customFormat="1"/>
    <row r="1161" s="34" customFormat="1"/>
    <row r="1162" s="34" customFormat="1"/>
    <row r="1163" s="34" customFormat="1"/>
    <row r="1164" s="34" customFormat="1"/>
    <row r="1165" s="34" customFormat="1"/>
    <row r="1166" s="34" customFormat="1"/>
    <row r="1167" s="34" customFormat="1"/>
    <row r="1168" s="34" customFormat="1"/>
    <row r="1169" s="34" customFormat="1"/>
    <row r="1170" s="34" customFormat="1"/>
    <row r="1171" s="34" customFormat="1"/>
    <row r="1172" s="34" customFormat="1"/>
    <row r="1173" s="34" customFormat="1"/>
    <row r="1174" s="34" customFormat="1"/>
    <row r="1175" s="34" customFormat="1"/>
    <row r="1176" s="34" customFormat="1"/>
    <row r="1177" s="34" customFormat="1"/>
    <row r="1178" s="34" customFormat="1"/>
    <row r="1179" s="34" customFormat="1"/>
    <row r="1180" s="34" customFormat="1"/>
    <row r="1181" s="34" customFormat="1"/>
    <row r="1182" s="34" customFormat="1"/>
    <row r="1183" s="34" customFormat="1"/>
    <row r="1184" s="34" customFormat="1"/>
    <row r="1185" s="34" customFormat="1"/>
    <row r="1186" s="34" customFormat="1"/>
    <row r="1187" s="34" customFormat="1"/>
    <row r="1188" s="34" customFormat="1"/>
    <row r="1189" s="34" customFormat="1"/>
    <row r="1190" s="34" customFormat="1"/>
    <row r="1191" s="34" customFormat="1"/>
    <row r="1192" s="34" customFormat="1"/>
    <row r="1193" s="34" customFormat="1"/>
    <row r="1194" s="34" customFormat="1"/>
    <row r="1195" s="34" customFormat="1"/>
    <row r="1196" s="34" customFormat="1"/>
    <row r="1197" s="34" customFormat="1"/>
    <row r="1198" s="34" customFormat="1"/>
    <row r="1199" s="34" customFormat="1"/>
    <row r="1200" s="34" customFormat="1"/>
    <row r="1201" s="34" customFormat="1"/>
    <row r="1202" s="34" customFormat="1"/>
    <row r="1203" s="34" customFormat="1"/>
    <row r="1204" s="34" customFormat="1"/>
    <row r="1205" s="34" customFormat="1"/>
    <row r="1206" s="34" customFormat="1"/>
    <row r="1207" s="34" customFormat="1"/>
    <row r="1208" s="34" customFormat="1"/>
    <row r="1209" s="34" customFormat="1"/>
    <row r="1210" s="34" customFormat="1"/>
    <row r="1211" s="34" customFormat="1"/>
    <row r="1212" s="34" customFormat="1"/>
    <row r="1213" s="34" customFormat="1"/>
    <row r="1214" s="34" customFormat="1"/>
    <row r="1215" s="34" customFormat="1"/>
    <row r="1216" s="34" customFormat="1"/>
    <row r="1217" s="34" customFormat="1"/>
    <row r="1218" s="34" customFormat="1"/>
    <row r="1219" s="34" customFormat="1"/>
    <row r="1220" s="34" customFormat="1"/>
    <row r="1221" s="34" customFormat="1"/>
    <row r="1222" s="34" customFormat="1"/>
    <row r="1223" s="34" customFormat="1"/>
    <row r="1224" s="34" customFormat="1"/>
    <row r="1225" s="34" customFormat="1"/>
    <row r="1226" s="34" customFormat="1"/>
    <row r="1227" s="34" customFormat="1"/>
    <row r="1228" s="34" customFormat="1"/>
    <row r="1229" s="34" customFormat="1"/>
    <row r="1230" s="34" customFormat="1"/>
    <row r="1231" s="34" customFormat="1"/>
    <row r="1232" s="34" customFormat="1"/>
    <row r="1233" s="34" customFormat="1"/>
    <row r="1234" s="34" customFormat="1"/>
    <row r="1235" s="34" customFormat="1"/>
    <row r="1236" s="34" customFormat="1"/>
    <row r="1237" s="34" customFormat="1"/>
    <row r="1238" s="34" customFormat="1"/>
    <row r="1239" s="34" customFormat="1"/>
    <row r="1240" s="34" customFormat="1"/>
    <row r="1241" s="34" customFormat="1"/>
    <row r="1242" s="34" customFormat="1"/>
    <row r="1243" s="34" customFormat="1"/>
    <row r="1244" s="34" customFormat="1"/>
    <row r="1245" s="34" customFormat="1"/>
    <row r="1246" s="34" customFormat="1"/>
    <row r="1247" s="34" customFormat="1"/>
    <row r="1248" s="34" customFormat="1"/>
    <row r="1249" s="34" customFormat="1"/>
    <row r="1250" s="34" customFormat="1"/>
    <row r="1251" s="34" customFormat="1"/>
    <row r="1252" s="34" customFormat="1"/>
    <row r="1253" s="34" customFormat="1"/>
    <row r="1254" s="34" customFormat="1"/>
    <row r="1255" s="34" customFormat="1"/>
    <row r="1256" s="34" customFormat="1"/>
    <row r="1257" s="34" customFormat="1"/>
    <row r="1258" s="34" customFormat="1"/>
    <row r="1259" s="34" customFormat="1"/>
    <row r="1260" s="34" customFormat="1"/>
    <row r="1261" s="34" customFormat="1"/>
    <row r="1262" s="34" customFormat="1"/>
    <row r="1263" s="34" customFormat="1"/>
    <row r="1264" s="34" customFormat="1"/>
    <row r="1265" s="34" customFormat="1"/>
    <row r="1266" s="34" customFormat="1"/>
    <row r="1267" s="34" customFormat="1"/>
    <row r="1268" s="34" customFormat="1"/>
    <row r="1269" s="34" customFormat="1"/>
    <row r="1270" s="34" customFormat="1"/>
    <row r="1271" s="34" customFormat="1"/>
    <row r="1272" s="34" customFormat="1"/>
    <row r="1273" s="34" customFormat="1"/>
    <row r="1274" s="34" customFormat="1"/>
    <row r="1275" s="34" customFormat="1"/>
    <row r="1276" s="34" customFormat="1"/>
    <row r="1277" s="34" customFormat="1"/>
    <row r="1278" s="34" customFormat="1"/>
    <row r="1279" s="34" customFormat="1"/>
    <row r="1280" s="34" customFormat="1"/>
    <row r="1281" s="34" customFormat="1"/>
    <row r="1282" s="34" customFormat="1"/>
    <row r="1283" s="34" customFormat="1"/>
    <row r="1284" s="34" customFormat="1"/>
    <row r="1285" s="34" customFormat="1"/>
    <row r="1286" s="34" customFormat="1"/>
    <row r="1287" s="34" customFormat="1"/>
    <row r="1288" s="34" customFormat="1"/>
    <row r="1289" s="34" customFormat="1"/>
    <row r="1290" s="34" customFormat="1"/>
    <row r="1291" s="34" customFormat="1"/>
    <row r="1292" s="34" customFormat="1"/>
    <row r="1293" s="34" customFormat="1"/>
    <row r="1294" s="34" customFormat="1"/>
    <row r="1295" s="34" customFormat="1"/>
    <row r="1296" s="34" customFormat="1"/>
    <row r="1297" s="34" customFormat="1"/>
    <row r="1298" s="34" customFormat="1"/>
    <row r="1299" s="34" customFormat="1"/>
    <row r="1300" s="34" customFormat="1"/>
    <row r="1301" s="34" customFormat="1"/>
    <row r="1302" s="34" customFormat="1"/>
    <row r="1303" s="34" customFormat="1"/>
    <row r="1304" s="34" customFormat="1"/>
    <row r="1305" s="34" customFormat="1"/>
    <row r="1306" s="34" customFormat="1"/>
    <row r="1307" s="34" customFormat="1"/>
    <row r="1308" s="34" customFormat="1"/>
    <row r="1309" s="34" customFormat="1"/>
    <row r="1310" s="34" customFormat="1"/>
    <row r="1311" s="34" customFormat="1"/>
    <row r="1312" s="34" customFormat="1"/>
    <row r="1313" s="34" customFormat="1"/>
    <row r="1314" s="34" customFormat="1"/>
    <row r="1315" s="34" customFormat="1"/>
    <row r="1316" s="34" customFormat="1"/>
    <row r="1317" s="34" customFormat="1"/>
    <row r="1318" s="34" customFormat="1"/>
    <row r="1319" s="34" customFormat="1"/>
    <row r="1320" s="34" customFormat="1"/>
    <row r="1321" s="34" customFormat="1"/>
    <row r="1322" s="34" customFormat="1"/>
    <row r="1323" s="34" customFormat="1"/>
    <row r="1324" s="34" customFormat="1"/>
    <row r="1325" s="34" customFormat="1"/>
    <row r="1326" s="34" customFormat="1"/>
    <row r="1327" s="34" customFormat="1"/>
    <row r="1328" s="34" customFormat="1"/>
    <row r="1329" s="34" customFormat="1"/>
    <row r="1330" s="34" customFormat="1"/>
    <row r="1331" s="34" customFormat="1"/>
    <row r="1332" s="34" customFormat="1"/>
    <row r="1333" s="34" customFormat="1"/>
    <row r="1334" s="34" customFormat="1"/>
    <row r="1335" s="34" customFormat="1"/>
    <row r="1336" s="34" customFormat="1"/>
    <row r="1337" s="34" customFormat="1"/>
    <row r="1338" s="34" customFormat="1"/>
    <row r="1339" s="34" customFormat="1"/>
    <row r="1340" s="34" customFormat="1"/>
    <row r="1341" s="34" customFormat="1"/>
    <row r="1342" s="34" customFormat="1"/>
    <row r="1343" s="34" customFormat="1"/>
    <row r="1344" s="34" customFormat="1"/>
    <row r="1345" s="34" customFormat="1"/>
    <row r="1346" s="34" customFormat="1"/>
    <row r="1347" s="34" customFormat="1"/>
    <row r="1348" s="34" customFormat="1"/>
    <row r="1349" s="34" customFormat="1"/>
    <row r="1350" s="34" customFormat="1"/>
    <row r="1351" s="34" customFormat="1"/>
    <row r="1352" s="34" customFormat="1"/>
    <row r="1353" s="34" customFormat="1"/>
    <row r="1354" s="34" customFormat="1"/>
    <row r="1355" s="34" customFormat="1"/>
    <row r="1356" s="34" customFormat="1"/>
    <row r="1357" s="34" customFormat="1"/>
    <row r="1358" s="34" customFormat="1"/>
    <row r="1359" s="34" customFormat="1"/>
    <row r="1360" s="34" customFormat="1"/>
    <row r="1361" s="34" customFormat="1"/>
    <row r="1362" s="34" customFormat="1"/>
    <row r="1363" s="34" customFormat="1"/>
    <row r="1364" s="34" customFormat="1"/>
    <row r="1365" s="34" customFormat="1"/>
    <row r="1366" s="34" customFormat="1"/>
    <row r="1367" s="34" customFormat="1"/>
    <row r="1368" s="34" customFormat="1"/>
    <row r="1369" s="34" customFormat="1"/>
    <row r="1370" s="34" customFormat="1"/>
    <row r="1371" s="34" customFormat="1"/>
    <row r="1372" s="34" customFormat="1"/>
    <row r="1373" s="34" customFormat="1"/>
    <row r="1374" s="34" customFormat="1"/>
    <row r="1375" s="34" customFormat="1"/>
    <row r="1376" s="34" customFormat="1"/>
    <row r="1377" s="34" customFormat="1"/>
    <row r="1378" s="34" customFormat="1"/>
    <row r="1379" s="34" customFormat="1"/>
    <row r="1380" s="34" customFormat="1"/>
    <row r="1381" s="34" customFormat="1"/>
    <row r="1382" s="34" customFormat="1"/>
    <row r="1383" s="34" customFormat="1"/>
    <row r="1384" s="34" customFormat="1"/>
    <row r="1385" s="34" customFormat="1"/>
    <row r="1386" s="34" customFormat="1"/>
    <row r="1387" s="34" customFormat="1"/>
    <row r="1388" s="34" customFormat="1"/>
    <row r="1389" s="34" customFormat="1"/>
    <row r="1390" s="34" customFormat="1"/>
    <row r="1391" s="34" customFormat="1"/>
    <row r="1392" s="34" customFormat="1"/>
    <row r="1393" s="34" customFormat="1"/>
    <row r="1394" s="34" customFormat="1"/>
    <row r="1395" s="34" customFormat="1"/>
    <row r="1396" s="34" customFormat="1"/>
    <row r="1397" s="34" customFormat="1"/>
    <row r="1398" s="34" customFormat="1"/>
    <row r="1399" s="34" customFormat="1"/>
    <row r="1400" s="34" customFormat="1"/>
    <row r="1401" s="34" customFormat="1"/>
    <row r="1402" s="34" customFormat="1"/>
    <row r="1403" s="34" customFormat="1"/>
    <row r="1404" s="34" customFormat="1"/>
    <row r="1405" s="34" customFormat="1"/>
    <row r="1406" s="34" customFormat="1"/>
    <row r="1407" s="34" customFormat="1"/>
    <row r="1408" s="34" customFormat="1"/>
    <row r="1409" s="34" customFormat="1"/>
    <row r="1410" s="34" customFormat="1"/>
    <row r="1411" s="34" customFormat="1"/>
    <row r="1412" s="34" customFormat="1"/>
    <row r="1413" s="34" customFormat="1"/>
    <row r="1414" s="34" customFormat="1"/>
    <row r="1415" s="34" customFormat="1"/>
    <row r="1416" s="34" customFormat="1"/>
    <row r="1417" s="34" customFormat="1"/>
    <row r="1418" s="34" customFormat="1"/>
    <row r="1419" s="34" customFormat="1"/>
    <row r="1420" s="34" customFormat="1"/>
    <row r="1421" s="34" customFormat="1"/>
    <row r="1422" s="34" customFormat="1"/>
    <row r="1423" s="34" customFormat="1"/>
    <row r="1424" s="34" customFormat="1"/>
    <row r="1425" s="34" customFormat="1"/>
    <row r="1426" s="34" customFormat="1"/>
    <row r="1427" s="34" customFormat="1"/>
    <row r="1428" s="34" customFormat="1"/>
    <row r="1429" s="34" customFormat="1"/>
    <row r="1430" s="34" customFormat="1"/>
    <row r="1431" s="34" customFormat="1"/>
    <row r="1432" s="34" customFormat="1"/>
    <row r="1433" s="34" customFormat="1"/>
    <row r="1434" s="34" customFormat="1"/>
    <row r="1435" s="34" customFormat="1"/>
    <row r="1436" s="34" customFormat="1"/>
    <row r="1437" s="34" customFormat="1"/>
    <row r="1438" s="34" customFormat="1"/>
    <row r="1439" s="34" customFormat="1"/>
    <row r="1440" s="34" customFormat="1"/>
    <row r="1441" s="34" customFormat="1"/>
    <row r="1442" s="34" customFormat="1"/>
    <row r="1443" s="34" customFormat="1"/>
    <row r="1444" s="34" customFormat="1"/>
    <row r="1445" s="34" customFormat="1"/>
    <row r="1446" s="34" customFormat="1"/>
    <row r="1447" s="34" customFormat="1"/>
    <row r="1448" s="34" customFormat="1"/>
    <row r="1449" s="34" customFormat="1"/>
    <row r="1450" s="34" customFormat="1"/>
    <row r="1451" s="34" customFormat="1"/>
    <row r="1452" s="34" customFormat="1"/>
    <row r="1453" s="34" customFormat="1"/>
    <row r="1454" s="34" customFormat="1"/>
    <row r="1455" s="34" customFormat="1"/>
    <row r="1456" s="34" customFormat="1"/>
    <row r="1457" s="34" customFormat="1"/>
    <row r="1458" s="34" customFormat="1"/>
    <row r="1459" s="34" customFormat="1"/>
    <row r="1460" s="34" customFormat="1"/>
    <row r="1461" s="34" customFormat="1"/>
    <row r="1462" s="34" customFormat="1"/>
    <row r="1463" s="34" customFormat="1"/>
    <row r="1464" s="34" customFormat="1"/>
    <row r="1465" s="34" customFormat="1"/>
    <row r="1466" s="34" customFormat="1"/>
    <row r="1467" s="34" customFormat="1"/>
    <row r="1468" s="34" customFormat="1"/>
    <row r="1469" s="34" customFormat="1"/>
    <row r="1470" s="34" customFormat="1"/>
    <row r="1471" s="34" customFormat="1"/>
    <row r="1472" s="34" customFormat="1"/>
    <row r="1473" s="34" customFormat="1"/>
    <row r="1474" s="34" customFormat="1"/>
    <row r="1475" s="34" customFormat="1"/>
    <row r="1476" s="34" customFormat="1"/>
    <row r="1477" s="34" customFormat="1"/>
    <row r="1478" s="34" customFormat="1"/>
    <row r="1479" s="34" customFormat="1"/>
    <row r="1480" s="34" customFormat="1"/>
    <row r="1481" s="34" customFormat="1"/>
    <row r="1482" s="34" customFormat="1"/>
    <row r="1483" s="34" customFormat="1"/>
    <row r="1484" s="34" customFormat="1"/>
    <row r="1485" s="34" customFormat="1"/>
    <row r="1486" s="34" customFormat="1"/>
    <row r="1487" s="34" customFormat="1"/>
    <row r="1488" s="34" customFormat="1"/>
    <row r="1489" s="34" customFormat="1"/>
    <row r="1490" s="34" customFormat="1"/>
    <row r="1491" s="34" customFormat="1"/>
    <row r="1492" s="34" customFormat="1"/>
    <row r="1493" s="34" customFormat="1"/>
    <row r="1494" s="34" customFormat="1"/>
    <row r="1495" s="34" customFormat="1"/>
    <row r="1496" s="34" customFormat="1"/>
    <row r="1497" s="34" customFormat="1"/>
    <row r="1498" s="34" customFormat="1"/>
    <row r="1499" s="34" customFormat="1"/>
    <row r="1500" s="34" customFormat="1"/>
    <row r="1501" s="34" customFormat="1"/>
    <row r="1502" s="34" customFormat="1"/>
    <row r="1503" s="34" customFormat="1"/>
    <row r="1504" s="34" customFormat="1"/>
    <row r="1505" s="34" customFormat="1"/>
    <row r="1506" s="34" customFormat="1"/>
    <row r="1507" s="34" customFormat="1"/>
    <row r="1508" s="34" customFormat="1"/>
    <row r="1509" s="34" customFormat="1"/>
    <row r="1510" s="34" customFormat="1"/>
    <row r="1511" s="34" customFormat="1"/>
    <row r="1512" s="34" customFormat="1"/>
    <row r="1513" s="34" customFormat="1"/>
    <row r="1514" s="34" customFormat="1"/>
    <row r="1515" s="34" customFormat="1"/>
    <row r="1516" s="34" customFormat="1"/>
    <row r="1517" s="34" customFormat="1"/>
    <row r="1518" s="34" customFormat="1"/>
    <row r="1519" s="34" customFormat="1"/>
    <row r="1520" s="34" customFormat="1"/>
    <row r="1521" s="34" customFormat="1"/>
    <row r="1522" s="34" customFormat="1"/>
    <row r="1523" s="34" customFormat="1"/>
    <row r="1524" s="34" customFormat="1"/>
    <row r="1525" s="34" customFormat="1"/>
    <row r="1526" s="34" customFormat="1"/>
    <row r="1527" s="34" customFormat="1"/>
    <row r="1528" s="34" customFormat="1"/>
    <row r="1529" s="34" customFormat="1"/>
    <row r="1530" s="34" customFormat="1"/>
    <row r="1531" s="34" customFormat="1"/>
    <row r="1532" s="34" customFormat="1"/>
    <row r="1533" s="34" customFormat="1"/>
    <row r="1534" s="34" customFormat="1"/>
    <row r="1535" s="34" customFormat="1"/>
    <row r="1536" s="34" customFormat="1"/>
    <row r="1537" s="34" customFormat="1"/>
    <row r="1538" s="34" customFormat="1"/>
    <row r="1539" s="34" customFormat="1"/>
    <row r="1540" s="34" customFormat="1"/>
    <row r="1541" s="34" customFormat="1"/>
    <row r="1542" s="34" customFormat="1"/>
    <row r="1543" s="34" customFormat="1"/>
    <row r="1544" s="34" customFormat="1"/>
    <row r="1545" s="34" customFormat="1"/>
    <row r="1546" s="34" customFormat="1"/>
    <row r="1547" s="34" customFormat="1"/>
    <row r="1548" s="34" customFormat="1"/>
    <row r="1549" s="34" customFormat="1"/>
    <row r="1550" s="34" customFormat="1"/>
    <row r="1551" s="34" customFormat="1"/>
    <row r="1552" s="34" customFormat="1"/>
    <row r="1553" s="34" customFormat="1"/>
    <row r="1554" s="34" customFormat="1"/>
    <row r="1555" s="34" customFormat="1"/>
    <row r="1556" s="34" customFormat="1"/>
    <row r="1557" s="34" customFormat="1"/>
    <row r="1558" s="34" customFormat="1"/>
    <row r="1559" s="34" customFormat="1"/>
    <row r="1560" s="34" customFormat="1"/>
    <row r="1561" s="34" customFormat="1"/>
    <row r="1562" s="34" customFormat="1"/>
    <row r="1563" s="34" customFormat="1"/>
    <row r="1564" s="34" customFormat="1"/>
    <row r="1565" s="34" customFormat="1"/>
    <row r="1566" s="34" customFormat="1"/>
    <row r="1567" s="34" customFormat="1"/>
    <row r="1568" s="34" customFormat="1"/>
    <row r="1569" s="34" customFormat="1"/>
    <row r="1570" s="34" customFormat="1"/>
    <row r="1571" s="34" customFormat="1"/>
    <row r="1572" s="34" customFormat="1"/>
    <row r="1573" s="34" customFormat="1"/>
    <row r="1574" s="34" customFormat="1"/>
    <row r="1575" s="34" customFormat="1"/>
    <row r="1576" s="34" customFormat="1"/>
    <row r="1577" s="34" customFormat="1"/>
    <row r="1578" s="34" customFormat="1"/>
    <row r="1579" s="34" customFormat="1"/>
    <row r="1580" s="34" customFormat="1"/>
    <row r="1581" s="34" customFormat="1"/>
    <row r="1582" s="34" customFormat="1"/>
    <row r="1583" s="34" customFormat="1"/>
    <row r="1584" s="34" customFormat="1"/>
    <row r="1585" s="34" customFormat="1"/>
    <row r="1586" s="34" customFormat="1"/>
    <row r="1587" s="34" customFormat="1"/>
    <row r="1588" s="34" customFormat="1"/>
    <row r="1589" s="34" customFormat="1"/>
    <row r="1590" s="34" customFormat="1"/>
    <row r="1591" s="34" customFormat="1"/>
    <row r="1592" s="34" customFormat="1"/>
    <row r="1593" s="34" customFormat="1"/>
    <row r="1594" s="34" customFormat="1"/>
    <row r="1595" s="34" customFormat="1"/>
    <row r="1596" s="34" customFormat="1"/>
    <row r="1597" s="34" customFormat="1"/>
    <row r="1598" s="34" customFormat="1"/>
    <row r="1599" s="34" customFormat="1"/>
    <row r="1600" s="34" customFormat="1"/>
    <row r="1601" s="34" customFormat="1"/>
    <row r="1602" s="34" customFormat="1"/>
    <row r="1603" s="34" customFormat="1"/>
    <row r="1604" s="34" customFormat="1"/>
    <row r="1605" s="34" customFormat="1"/>
    <row r="1606" s="34" customFormat="1"/>
    <row r="1607" s="34" customFormat="1"/>
    <row r="1608" s="34" customFormat="1"/>
    <row r="1609" s="34" customFormat="1"/>
    <row r="1610" s="34" customFormat="1"/>
    <row r="1611" s="34" customFormat="1"/>
    <row r="1612" s="34" customFormat="1"/>
    <row r="1613" s="34" customFormat="1"/>
    <row r="1614" s="34" customFormat="1"/>
    <row r="1615" s="34" customFormat="1"/>
    <row r="1616" s="34" customFormat="1"/>
    <row r="1617" s="34" customFormat="1"/>
    <row r="1618" s="34" customFormat="1"/>
    <row r="1619" s="34" customFormat="1"/>
    <row r="1620" s="34" customFormat="1"/>
    <row r="1621" s="34" customFormat="1"/>
    <row r="1622" s="34" customFormat="1"/>
    <row r="1623" s="34" customFormat="1"/>
    <row r="1624" s="34" customFormat="1"/>
    <row r="1625" s="34" customFormat="1"/>
    <row r="1626" s="34" customFormat="1"/>
    <row r="1627" s="34" customFormat="1"/>
    <row r="1628" s="34" customFormat="1"/>
    <row r="1629" s="34" customFormat="1"/>
    <row r="1630" s="34" customFormat="1"/>
    <row r="1631" s="34" customFormat="1"/>
    <row r="1632" s="34" customFormat="1"/>
    <row r="1633" s="34" customFormat="1"/>
    <row r="1634" s="34" customFormat="1"/>
    <row r="1635" s="34" customFormat="1"/>
    <row r="1636" s="34" customFormat="1"/>
    <row r="1637" s="34" customFormat="1"/>
    <row r="1638" s="34" customFormat="1"/>
    <row r="1639" s="34" customFormat="1"/>
    <row r="1640" s="34" customFormat="1"/>
    <row r="1641" s="34" customFormat="1"/>
    <row r="1642" s="34" customFormat="1"/>
    <row r="1643" s="34" customFormat="1"/>
    <row r="1644" s="34" customFormat="1"/>
    <row r="1645" s="34" customFormat="1"/>
    <row r="1646" s="34" customFormat="1"/>
    <row r="1647" s="34" customFormat="1"/>
    <row r="1648" s="34" customFormat="1"/>
    <row r="1649" s="34" customFormat="1"/>
    <row r="1650" s="34" customFormat="1"/>
    <row r="1651" s="34" customFormat="1"/>
    <row r="1652" s="34" customFormat="1"/>
    <row r="1653" s="34" customFormat="1"/>
    <row r="1654" s="34" customFormat="1"/>
    <row r="1655" s="34" customFormat="1"/>
    <row r="1656" s="34" customFormat="1"/>
    <row r="1657" s="34" customFormat="1"/>
    <row r="1658" s="34" customFormat="1"/>
    <row r="1659" s="34" customFormat="1"/>
    <row r="1660" s="34" customFormat="1"/>
    <row r="1661" s="34" customFormat="1"/>
    <row r="1662" s="34" customFormat="1"/>
    <row r="1663" s="34" customFormat="1"/>
    <row r="1664" s="34" customFormat="1"/>
    <row r="1665" s="34" customFormat="1"/>
    <row r="1666" s="34" customFormat="1"/>
    <row r="1667" s="34" customFormat="1"/>
    <row r="1668" s="34" customFormat="1"/>
    <row r="1669" s="34" customFormat="1"/>
    <row r="1670" s="34" customFormat="1"/>
    <row r="1671" s="34" customFormat="1"/>
    <row r="1672" s="34" customFormat="1"/>
    <row r="1673" s="34" customFormat="1"/>
    <row r="1674" s="34" customFormat="1"/>
    <row r="1675" s="34" customFormat="1"/>
    <row r="1676" s="34" customFormat="1"/>
    <row r="1677" s="34" customFormat="1"/>
    <row r="1678" s="34" customFormat="1"/>
    <row r="1679" s="34" customFormat="1"/>
    <row r="1680" s="34" customFormat="1"/>
    <row r="1681" s="34" customFormat="1"/>
    <row r="1682" s="34" customFormat="1"/>
    <row r="1683" s="34" customFormat="1"/>
    <row r="1684" s="34" customFormat="1"/>
    <row r="1685" s="34" customFormat="1"/>
    <row r="1686" s="34" customFormat="1"/>
    <row r="1687" s="34" customFormat="1"/>
    <row r="1688" s="34" customFormat="1"/>
    <row r="1689" s="34" customFormat="1"/>
    <row r="1690" s="34" customFormat="1"/>
    <row r="1691" s="34" customFormat="1"/>
    <row r="1692" s="34" customFormat="1"/>
    <row r="1693" s="34" customFormat="1"/>
    <row r="1694" s="34" customFormat="1"/>
    <row r="1695" s="34" customFormat="1"/>
    <row r="1696" s="34" customFormat="1"/>
    <row r="1697" s="34" customFormat="1"/>
    <row r="1698" s="34" customFormat="1"/>
    <row r="1699" s="34" customFormat="1"/>
    <row r="1700" s="34" customFormat="1"/>
    <row r="1701" s="34" customFormat="1"/>
    <row r="1702" s="34" customFormat="1"/>
    <row r="1703" s="34" customFormat="1"/>
    <row r="1704" s="34" customFormat="1"/>
    <row r="1705" s="34" customFormat="1"/>
    <row r="1706" s="34" customFormat="1"/>
    <row r="1707" s="34" customFormat="1"/>
    <row r="1708" s="34" customFormat="1"/>
    <row r="1709" s="34" customFormat="1"/>
    <row r="1710" s="34" customFormat="1"/>
    <row r="1711" s="34" customFormat="1"/>
    <row r="1712" s="34" customFormat="1"/>
    <row r="1713" s="34" customFormat="1"/>
    <row r="1714" s="34" customFormat="1"/>
    <row r="1715" s="34" customFormat="1"/>
    <row r="1716" s="34" customFormat="1"/>
    <row r="1717" s="34" customFormat="1"/>
    <row r="1718" s="34" customFormat="1"/>
    <row r="1719" s="34" customFormat="1"/>
    <row r="1720" s="34" customFormat="1"/>
    <row r="1721" s="34" customFormat="1"/>
    <row r="1722" s="34" customFormat="1"/>
    <row r="1723" s="34" customFormat="1"/>
    <row r="1724" s="34" customFormat="1"/>
    <row r="1725" s="34" customFormat="1"/>
    <row r="1726" s="34" customFormat="1"/>
    <row r="1727" s="34" customFormat="1"/>
    <row r="1728" s="34" customFormat="1"/>
    <row r="1729" s="34" customFormat="1"/>
    <row r="1730" s="34" customFormat="1"/>
    <row r="1731" s="34" customFormat="1"/>
    <row r="1732" s="34" customFormat="1"/>
    <row r="1733" s="34" customFormat="1"/>
    <row r="1734" s="34" customFormat="1"/>
    <row r="1735" s="34" customFormat="1"/>
    <row r="1736" s="34" customFormat="1"/>
    <row r="1737" s="34" customFormat="1"/>
    <row r="1738" s="34" customFormat="1"/>
    <row r="1739" s="34" customFormat="1"/>
    <row r="1740" s="34" customFormat="1"/>
    <row r="1741" s="34" customFormat="1"/>
    <row r="1742" s="34" customFormat="1"/>
    <row r="1743" s="34" customFormat="1"/>
    <row r="1744" s="34" customFormat="1"/>
    <row r="1745" s="34" customFormat="1"/>
    <row r="1746" s="34" customFormat="1"/>
    <row r="1747" s="34" customFormat="1"/>
    <row r="1748" s="34" customFormat="1"/>
    <row r="1749" s="34" customFormat="1"/>
    <row r="1750" s="34" customFormat="1"/>
    <row r="1751" s="34" customFormat="1"/>
    <row r="1752" s="34" customFormat="1"/>
    <row r="1753" s="34" customFormat="1"/>
    <row r="1754" s="34" customFormat="1"/>
    <row r="1755" s="34" customFormat="1"/>
    <row r="1756" s="34" customFormat="1"/>
    <row r="1757" s="34" customFormat="1"/>
    <row r="1758" s="34" customFormat="1"/>
    <row r="1759" s="34" customFormat="1"/>
    <row r="1760" s="34" customFormat="1"/>
    <row r="1761" s="34" customFormat="1"/>
    <row r="1762" s="34" customFormat="1"/>
    <row r="1763" s="34" customFormat="1"/>
    <row r="1764" s="34" customFormat="1"/>
    <row r="1765" s="34" customFormat="1"/>
    <row r="1766" s="34" customFormat="1"/>
    <row r="1767" s="34" customFormat="1"/>
    <row r="1768" s="34" customFormat="1"/>
    <row r="1769" s="34" customFormat="1"/>
    <row r="1770" s="34" customFormat="1"/>
    <row r="1771" s="34" customFormat="1"/>
    <row r="1772" s="34" customFormat="1"/>
    <row r="1773" s="34" customFormat="1"/>
    <row r="1774" s="34" customFormat="1"/>
    <row r="1775" s="34" customFormat="1"/>
    <row r="1776" s="34" customFormat="1"/>
    <row r="1777" s="34" customFormat="1"/>
    <row r="1778" s="34" customFormat="1"/>
    <row r="1779" s="34" customFormat="1"/>
    <row r="1780" s="34" customFormat="1"/>
    <row r="1781" s="34" customFormat="1"/>
    <row r="1782" s="34" customFormat="1"/>
    <row r="1783" s="34" customFormat="1"/>
    <row r="1784" s="34" customFormat="1"/>
    <row r="1785" s="34" customFormat="1"/>
    <row r="1786" s="34" customFormat="1"/>
    <row r="1787" s="34" customFormat="1"/>
    <row r="1788" s="34" customFormat="1"/>
    <row r="1789" s="34" customFormat="1"/>
    <row r="1790" s="34" customFormat="1"/>
    <row r="1791" s="34" customFormat="1"/>
    <row r="1792" s="34" customFormat="1"/>
    <row r="1793" s="34" customFormat="1"/>
    <row r="1794" s="34" customFormat="1"/>
    <row r="1795" s="34" customFormat="1"/>
    <row r="1796" s="34" customFormat="1"/>
    <row r="1797" s="34" customFormat="1"/>
    <row r="1798" s="34" customFormat="1"/>
    <row r="1799" s="34" customFormat="1"/>
    <row r="1800" s="34" customFormat="1"/>
    <row r="1801" s="34" customFormat="1"/>
    <row r="1802" s="34" customFormat="1"/>
    <row r="1803" s="34" customFormat="1"/>
    <row r="1804" s="34" customFormat="1"/>
    <row r="1805" s="34" customFormat="1"/>
    <row r="1806" s="34" customFormat="1"/>
    <row r="1807" s="34" customFormat="1"/>
    <row r="1808" s="34" customFormat="1"/>
    <row r="1809" s="34" customFormat="1"/>
    <row r="1810" s="34" customFormat="1"/>
    <row r="1811" s="34" customFormat="1"/>
    <row r="1812" s="34" customFormat="1"/>
    <row r="1813" s="34" customFormat="1"/>
    <row r="1814" s="34" customFormat="1"/>
    <row r="1815" s="34" customFormat="1"/>
    <row r="1816" s="34" customFormat="1"/>
    <row r="1817" s="34" customFormat="1"/>
    <row r="1818" s="34" customFormat="1"/>
    <row r="1819" s="34" customFormat="1"/>
    <row r="1820" s="34" customFormat="1"/>
    <row r="1821" s="34" customFormat="1"/>
    <row r="1822" s="34" customFormat="1"/>
    <row r="1823" s="34" customFormat="1"/>
    <row r="1824" s="34" customFormat="1"/>
    <row r="1825" s="34" customFormat="1"/>
    <row r="1826" s="34" customFormat="1"/>
    <row r="1827" s="34" customFormat="1"/>
    <row r="1828" s="34" customFormat="1"/>
    <row r="1829" s="34" customFormat="1"/>
    <row r="1830" s="34" customFormat="1"/>
    <row r="1831" s="34" customFormat="1"/>
    <row r="1832" s="34" customFormat="1"/>
    <row r="1833" s="34" customFormat="1"/>
    <row r="1834" s="34" customFormat="1"/>
    <row r="1835" s="34" customFormat="1"/>
    <row r="1836" s="34" customFormat="1"/>
    <row r="1837" s="34" customFormat="1"/>
    <row r="1838" s="34" customFormat="1"/>
    <row r="1839" s="34" customFormat="1"/>
    <row r="1840" s="34" customFormat="1"/>
    <row r="1841" s="34" customFormat="1"/>
    <row r="1842" s="34" customFormat="1"/>
    <row r="1843" s="34" customFormat="1"/>
    <row r="1844" s="34" customFormat="1"/>
    <row r="1845" s="34" customFormat="1"/>
    <row r="1846" s="34" customFormat="1"/>
    <row r="1847" s="34" customFormat="1"/>
    <row r="1848" s="34" customFormat="1"/>
    <row r="1849" s="34" customFormat="1"/>
    <row r="1850" s="34" customFormat="1"/>
    <row r="1851" s="34" customFormat="1"/>
    <row r="1852" s="34" customFormat="1"/>
    <row r="1853" s="34" customFormat="1"/>
    <row r="1854" s="34" customFormat="1"/>
    <row r="1855" s="34" customFormat="1"/>
    <row r="1856" s="34" customFormat="1"/>
    <row r="1857" s="34" customFormat="1"/>
    <row r="1858" s="34" customFormat="1"/>
    <row r="1859" s="34" customFormat="1"/>
    <row r="1860" s="34" customFormat="1"/>
    <row r="1861" s="34" customFormat="1"/>
    <row r="1862" s="34" customFormat="1"/>
    <row r="1863" s="34" customFormat="1"/>
    <row r="1864" s="34" customFormat="1"/>
    <row r="1865" s="34" customFormat="1"/>
    <row r="1866" s="34" customFormat="1"/>
    <row r="1867" s="34" customFormat="1"/>
    <row r="1868" s="34" customFormat="1"/>
    <row r="1869" s="34" customFormat="1"/>
    <row r="1870" s="34" customFormat="1"/>
    <row r="1871" s="34" customFormat="1"/>
    <row r="1872" s="34" customFormat="1"/>
    <row r="1873" s="34" customFormat="1"/>
    <row r="1874" s="34" customFormat="1"/>
    <row r="1875" s="34" customFormat="1"/>
    <row r="1876" s="34" customFormat="1"/>
    <row r="1877" s="34" customFormat="1"/>
    <row r="1878" s="34" customFormat="1"/>
    <row r="1879" s="34" customFormat="1"/>
    <row r="1880" s="34" customFormat="1"/>
    <row r="1881" s="34" customFormat="1"/>
    <row r="1882" s="34" customFormat="1"/>
    <row r="1883" s="34" customFormat="1"/>
    <row r="1884" s="34" customFormat="1"/>
    <row r="1885" s="34" customFormat="1"/>
    <row r="1886" s="34" customFormat="1"/>
    <row r="1887" s="34" customFormat="1"/>
    <row r="1888" s="34" customFormat="1"/>
    <row r="1889" s="34" customFormat="1"/>
    <row r="1890" s="34" customFormat="1"/>
    <row r="1891" s="34" customFormat="1"/>
    <row r="1892" s="34" customFormat="1"/>
    <row r="1893" s="34" customFormat="1"/>
    <row r="1894" s="34" customFormat="1"/>
    <row r="1895" s="34" customFormat="1"/>
    <row r="1896" s="34" customFormat="1"/>
    <row r="1897" s="34" customFormat="1"/>
    <row r="1898" s="34" customFormat="1"/>
    <row r="1899" s="34" customFormat="1"/>
    <row r="1900" s="34" customFormat="1"/>
    <row r="1901" s="34" customFormat="1"/>
    <row r="1902" s="34" customFormat="1"/>
    <row r="1903" s="34" customFormat="1"/>
    <row r="1904" s="34" customFormat="1"/>
    <row r="1905" s="34" customFormat="1"/>
    <row r="1906" s="34" customFormat="1"/>
    <row r="1907" s="34" customFormat="1"/>
    <row r="1908" s="34" customFormat="1"/>
    <row r="1909" s="34" customFormat="1"/>
    <row r="1910" s="34" customFormat="1"/>
    <row r="1911" s="34" customFormat="1"/>
    <row r="1912" s="34" customFormat="1"/>
    <row r="1913" s="34" customFormat="1"/>
    <row r="1914" s="34" customFormat="1"/>
    <row r="1915" s="34" customFormat="1"/>
    <row r="1916" s="34" customFormat="1"/>
    <row r="1917" s="34" customFormat="1"/>
    <row r="1918" s="34" customFormat="1"/>
    <row r="1919" s="34" customFormat="1"/>
    <row r="1920" s="34" customFormat="1"/>
    <row r="1921" s="34" customFormat="1"/>
    <row r="1922" s="34" customFormat="1"/>
    <row r="1923" s="34" customFormat="1"/>
    <row r="1924" s="34" customFormat="1"/>
    <row r="1925" s="34" customFormat="1"/>
    <row r="1926" s="34" customFormat="1"/>
    <row r="1927" s="34" customFormat="1"/>
    <row r="1928" s="34" customFormat="1"/>
    <row r="1929" s="34" customFormat="1"/>
    <row r="1930" s="34" customFormat="1"/>
    <row r="1931" s="34" customFormat="1"/>
    <row r="1932" s="34" customFormat="1"/>
    <row r="1933" s="34" customFormat="1"/>
    <row r="1934" s="34" customFormat="1"/>
    <row r="1935" s="34" customFormat="1"/>
    <row r="1936" s="34" customFormat="1"/>
    <row r="1937" s="34" customFormat="1"/>
    <row r="1938" s="34" customFormat="1"/>
    <row r="1939" s="34" customFormat="1"/>
    <row r="1940" s="34" customFormat="1"/>
    <row r="1941" s="34" customFormat="1"/>
    <row r="1942" s="34" customFormat="1"/>
    <row r="1943" s="34" customFormat="1"/>
    <row r="1944" s="34" customFormat="1"/>
    <row r="1945" s="34" customFormat="1"/>
    <row r="1946" s="34" customFormat="1"/>
    <row r="1947" s="34" customFormat="1"/>
    <row r="1948" s="34" customFormat="1"/>
    <row r="1949" s="34" customFormat="1"/>
    <row r="1950" s="34" customFormat="1"/>
    <row r="1951" s="34" customFormat="1"/>
    <row r="1952" s="34" customFormat="1"/>
    <row r="1953" s="34" customFormat="1"/>
    <row r="1954" s="34" customFormat="1"/>
    <row r="1955" s="34" customFormat="1"/>
    <row r="1956" s="34" customFormat="1"/>
    <row r="1957" s="34" customFormat="1"/>
    <row r="1958" s="34" customFormat="1"/>
    <row r="1959" s="34" customFormat="1"/>
    <row r="1960" s="34" customFormat="1"/>
    <row r="1961" s="34" customFormat="1"/>
    <row r="1962" s="34" customFormat="1"/>
    <row r="1963" s="34" customFormat="1"/>
    <row r="1964" s="34" customFormat="1"/>
    <row r="1965" s="34" customFormat="1"/>
    <row r="1966" s="34" customFormat="1"/>
    <row r="1967" s="34" customFormat="1"/>
    <row r="1968" s="34" customFormat="1"/>
    <row r="1969" s="34" customFormat="1"/>
    <row r="1970" s="34" customFormat="1"/>
    <row r="1971" s="34" customFormat="1"/>
    <row r="1972" s="34" customFormat="1"/>
    <row r="1973" s="34" customFormat="1"/>
    <row r="1974" s="34" customFormat="1"/>
    <row r="1975" s="34" customFormat="1"/>
    <row r="1976" s="34" customFormat="1"/>
    <row r="1977" s="34" customFormat="1"/>
    <row r="1978" s="34" customFormat="1"/>
    <row r="1979" s="34" customFormat="1"/>
    <row r="1980" s="34" customFormat="1"/>
    <row r="1981" s="34" customFormat="1"/>
    <row r="1982" s="34" customFormat="1"/>
    <row r="1983" s="34" customFormat="1"/>
    <row r="1984" s="34" customFormat="1"/>
    <row r="1985" s="34" customFormat="1"/>
    <row r="1986" s="34" customFormat="1"/>
    <row r="1987" s="34" customFormat="1"/>
    <row r="1988" s="34" customFormat="1"/>
    <row r="1989" s="34" customFormat="1"/>
    <row r="1990" s="34" customFormat="1"/>
    <row r="1991" s="34" customFormat="1"/>
    <row r="1992" s="34" customFormat="1"/>
    <row r="1993" s="34" customFormat="1"/>
    <row r="1994" s="34" customFormat="1"/>
    <row r="1995" s="34" customFormat="1"/>
    <row r="1996" s="34" customFormat="1"/>
    <row r="1997" s="34" customFormat="1"/>
    <row r="1998" s="34" customFormat="1"/>
    <row r="1999" s="34" customFormat="1"/>
    <row r="2000" s="34" customFormat="1"/>
    <row r="2001" s="34" customFormat="1"/>
    <row r="2002" s="34" customFormat="1"/>
    <row r="2003" s="34" customFormat="1"/>
    <row r="2004" s="34" customFormat="1"/>
    <row r="2005" s="34" customFormat="1"/>
    <row r="2006" s="34" customFormat="1"/>
    <row r="2007" s="34" customFormat="1"/>
    <row r="2008" s="34" customFormat="1"/>
    <row r="2009" s="34" customFormat="1"/>
    <row r="2010" s="34" customFormat="1"/>
    <row r="2011" s="34" customFormat="1"/>
    <row r="2012" s="34" customFormat="1"/>
    <row r="2013" s="34" customFormat="1"/>
    <row r="2014" s="34" customFormat="1"/>
    <row r="2015" s="34" customFormat="1"/>
    <row r="2016" s="34" customFormat="1"/>
    <row r="2017" s="34" customFormat="1"/>
    <row r="2018" s="34" customFormat="1"/>
    <row r="2019" s="34" customFormat="1"/>
    <row r="2020" s="34" customFormat="1"/>
    <row r="2021" s="34" customFormat="1"/>
    <row r="2022" s="34" customFormat="1"/>
    <row r="2023" s="34" customFormat="1"/>
    <row r="2024" s="34" customFormat="1"/>
    <row r="2025" s="34" customFormat="1"/>
    <row r="2026" s="34" customFormat="1"/>
    <row r="2027" s="34" customFormat="1"/>
    <row r="2028" s="34" customFormat="1"/>
    <row r="2029" s="34" customFormat="1"/>
    <row r="2030" s="34" customFormat="1"/>
    <row r="2031" s="34" customFormat="1"/>
    <row r="2032" s="34" customFormat="1"/>
    <row r="2033" s="34" customFormat="1"/>
    <row r="2034" s="34" customFormat="1"/>
    <row r="2035" s="34" customFormat="1"/>
    <row r="2036" s="34" customFormat="1"/>
    <row r="2037" s="34" customFormat="1"/>
    <row r="2038" s="34" customFormat="1"/>
    <row r="2039" s="34" customFormat="1"/>
    <row r="2040" s="34" customFormat="1"/>
    <row r="2041" s="34" customFormat="1"/>
    <row r="2042" s="34" customFormat="1"/>
    <row r="2043" s="34" customFormat="1"/>
    <row r="2044" s="34" customFormat="1"/>
    <row r="2045" s="34" customFormat="1"/>
    <row r="2046" s="34" customFormat="1"/>
    <row r="2047" s="34" customFormat="1"/>
    <row r="2048" s="34" customFormat="1"/>
    <row r="2049" s="34" customFormat="1"/>
    <row r="2050" s="34" customFormat="1"/>
    <row r="2051" s="34" customFormat="1"/>
    <row r="2052" s="34" customFormat="1"/>
    <row r="2053" s="34" customFormat="1"/>
    <row r="2054" s="34" customFormat="1"/>
    <row r="2055" s="34" customFormat="1"/>
    <row r="2056" s="34" customFormat="1"/>
    <row r="2057" s="34" customFormat="1"/>
    <row r="2058" s="34" customFormat="1"/>
    <row r="2059" s="34" customFormat="1"/>
    <row r="2060" s="34" customFormat="1"/>
    <row r="2061" s="34" customFormat="1"/>
    <row r="2062" s="34" customFormat="1"/>
    <row r="2063" s="34" customFormat="1"/>
    <row r="2064" s="34" customFormat="1"/>
    <row r="2065" s="34" customFormat="1"/>
    <row r="2066" s="34" customFormat="1"/>
    <row r="2067" s="34" customFormat="1"/>
    <row r="2068" s="34" customFormat="1"/>
    <row r="2069" s="34" customFormat="1"/>
    <row r="2070" s="34" customFormat="1"/>
    <row r="2071" s="34" customFormat="1"/>
    <row r="2072" s="34" customFormat="1"/>
    <row r="2073" s="34" customFormat="1"/>
    <row r="2074" s="34" customFormat="1"/>
    <row r="2075" s="34" customFormat="1"/>
    <row r="2076" s="34" customFormat="1"/>
    <row r="2077" s="34" customFormat="1"/>
    <row r="2078" s="34" customFormat="1"/>
    <row r="2079" s="34" customFormat="1"/>
    <row r="2080" s="34" customFormat="1"/>
    <row r="2081" s="34" customFormat="1"/>
    <row r="2082" s="34" customFormat="1"/>
    <row r="2083" s="34" customFormat="1"/>
    <row r="2084" s="34" customFormat="1"/>
    <row r="2085" s="34" customFormat="1"/>
    <row r="2086" s="34" customFormat="1"/>
    <row r="2087" s="34" customFormat="1"/>
    <row r="2088" s="34" customFormat="1"/>
    <row r="2089" s="34" customFormat="1"/>
    <row r="2090" s="34" customFormat="1"/>
    <row r="2091" s="34" customFormat="1"/>
    <row r="2092" s="34" customFormat="1"/>
    <row r="2093" s="34" customFormat="1"/>
    <row r="2094" s="34" customFormat="1"/>
    <row r="2095" s="34" customFormat="1"/>
    <row r="2096" s="34" customFormat="1"/>
    <row r="2097" s="34" customFormat="1"/>
    <row r="2098" s="34" customFormat="1"/>
    <row r="2099" s="34" customFormat="1"/>
    <row r="2100" s="34" customFormat="1"/>
    <row r="2101" s="34" customFormat="1"/>
    <row r="2102" s="34" customFormat="1"/>
    <row r="2103" s="34" customFormat="1"/>
    <row r="2104" s="34" customFormat="1"/>
    <row r="2105" s="34" customFormat="1"/>
    <row r="2106" s="34" customFormat="1"/>
    <row r="2107" s="34" customFormat="1"/>
    <row r="2108" s="34" customFormat="1"/>
    <row r="2109" s="34" customFormat="1"/>
    <row r="2110" s="34" customFormat="1"/>
    <row r="2111" s="34" customFormat="1"/>
    <row r="2112" s="34" customFormat="1"/>
    <row r="2113" s="34" customFormat="1"/>
    <row r="2114" s="34" customFormat="1"/>
    <row r="2115" s="34" customFormat="1"/>
    <row r="2116" s="34" customFormat="1"/>
    <row r="2117" s="34" customFormat="1"/>
    <row r="2118" s="34" customFormat="1"/>
    <row r="2119" s="34" customFormat="1"/>
    <row r="2120" s="34" customFormat="1"/>
    <row r="2121" s="34" customFormat="1"/>
    <row r="2122" s="34" customFormat="1"/>
    <row r="2123" s="34" customFormat="1"/>
    <row r="2124" s="34" customFormat="1"/>
    <row r="2125" s="34" customFormat="1"/>
    <row r="2126" s="34" customFormat="1"/>
    <row r="2127" s="34" customFormat="1"/>
    <row r="2128" s="34" customFormat="1"/>
    <row r="2129" s="34" customFormat="1"/>
    <row r="2130" s="34" customFormat="1"/>
    <row r="2131" s="34" customFormat="1"/>
    <row r="2132" s="34" customFormat="1"/>
    <row r="2133" s="34" customFormat="1"/>
    <row r="2134" s="34" customFormat="1"/>
    <row r="2135" s="34" customFormat="1"/>
    <row r="2136" s="34" customFormat="1"/>
    <row r="2137" s="34" customFormat="1"/>
    <row r="2138" s="34" customFormat="1"/>
    <row r="2139" s="34" customFormat="1"/>
    <row r="2140" s="34" customFormat="1"/>
    <row r="2141" s="34" customFormat="1"/>
    <row r="2142" s="34" customFormat="1"/>
    <row r="2143" s="34" customFormat="1"/>
    <row r="2144" s="34" customFormat="1"/>
    <row r="2145" s="34" customFormat="1"/>
    <row r="2146" s="34" customFormat="1"/>
    <row r="2147" s="34" customFormat="1"/>
    <row r="2148" s="34" customFormat="1"/>
    <row r="2149" s="34" customFormat="1"/>
    <row r="2150" s="34" customFormat="1"/>
    <row r="2151" s="34" customFormat="1"/>
    <row r="2152" s="34" customFormat="1"/>
    <row r="2153" s="34" customFormat="1"/>
    <row r="2154" s="34" customFormat="1"/>
    <row r="2155" s="34" customFormat="1"/>
    <row r="2156" s="34" customFormat="1"/>
    <row r="2157" s="34" customFormat="1"/>
    <row r="2158" s="34" customFormat="1"/>
    <row r="2159" s="34" customFormat="1"/>
    <row r="2160" s="34" customFormat="1"/>
    <row r="2161" s="34" customFormat="1"/>
    <row r="2162" s="34" customFormat="1"/>
    <row r="2163" s="34" customFormat="1"/>
    <row r="2164" s="34" customFormat="1"/>
    <row r="2165" s="34" customFormat="1"/>
    <row r="2166" s="34" customFormat="1"/>
    <row r="2167" s="34" customFormat="1"/>
    <row r="2168" s="34" customFormat="1"/>
    <row r="2169" s="34" customFormat="1"/>
    <row r="2170" s="34" customFormat="1"/>
    <row r="2171" s="34" customFormat="1"/>
    <row r="2172" s="34" customFormat="1"/>
    <row r="2173" s="34" customFormat="1"/>
    <row r="2174" s="34" customFormat="1"/>
    <row r="2175" s="34" customFormat="1"/>
    <row r="2176" s="34" customFormat="1"/>
    <row r="2177" s="34" customFormat="1"/>
    <row r="2178" s="34" customFormat="1"/>
    <row r="2179" s="34" customFormat="1"/>
    <row r="2180" s="34" customFormat="1"/>
    <row r="2181" s="34" customFormat="1"/>
    <row r="2182" s="34" customFormat="1"/>
    <row r="2183" s="34" customFormat="1"/>
    <row r="2184" s="34" customFormat="1"/>
    <row r="2185" s="34" customFormat="1"/>
    <row r="2186" s="34" customFormat="1"/>
    <row r="2187" s="34" customFormat="1"/>
    <row r="2188" s="34" customFormat="1"/>
    <row r="2189" s="34" customFormat="1"/>
    <row r="2190" s="34" customFormat="1"/>
    <row r="2191" s="34" customFormat="1"/>
    <row r="2192" s="34" customFormat="1"/>
    <row r="2193" s="34" customFormat="1"/>
    <row r="2194" s="34" customFormat="1"/>
    <row r="2195" s="34" customFormat="1"/>
    <row r="2196" s="34" customFormat="1"/>
    <row r="2197" s="34" customFormat="1"/>
    <row r="2198" s="34" customFormat="1"/>
    <row r="2199" s="34" customFormat="1"/>
    <row r="2200" s="34" customFormat="1"/>
    <row r="2201" s="34" customFormat="1"/>
    <row r="2202" s="34" customFormat="1"/>
    <row r="2203" s="34" customFormat="1"/>
    <row r="2204" s="34" customFormat="1"/>
    <row r="2205" s="34" customFormat="1"/>
    <row r="2206" s="34" customFormat="1"/>
    <row r="2207" s="34" customFormat="1"/>
    <row r="2208" s="34" customFormat="1"/>
    <row r="2209" s="34" customFormat="1"/>
    <row r="2210" s="34" customFormat="1"/>
    <row r="2211" s="34" customFormat="1"/>
    <row r="2212" s="34" customFormat="1"/>
    <row r="2213" s="34" customFormat="1"/>
    <row r="2214" s="34" customFormat="1"/>
    <row r="2215" s="34" customFormat="1"/>
    <row r="2216" s="34" customFormat="1"/>
    <row r="2217" s="34" customFormat="1"/>
    <row r="2218" s="34" customFormat="1"/>
    <row r="2219" s="34" customFormat="1"/>
    <row r="2220" s="34" customFormat="1"/>
    <row r="2221" s="34" customFormat="1"/>
    <row r="2222" s="34" customFormat="1"/>
    <row r="2223" s="34" customFormat="1"/>
    <row r="2224" s="34" customFormat="1"/>
    <row r="2225" s="34" customFormat="1"/>
    <row r="2226" s="34" customFormat="1"/>
    <row r="2227" s="34" customFormat="1"/>
    <row r="2228" s="34" customFormat="1"/>
    <row r="2229" s="34" customFormat="1"/>
    <row r="2230" s="34" customFormat="1"/>
    <row r="2231" s="34" customFormat="1"/>
    <row r="2232" s="34" customFormat="1"/>
    <row r="2233" s="34" customFormat="1"/>
    <row r="2234" s="34" customFormat="1"/>
    <row r="2235" s="34" customFormat="1"/>
    <row r="2236" s="34" customFormat="1"/>
    <row r="2237" s="34" customFormat="1"/>
    <row r="2238" s="34" customFormat="1"/>
    <row r="2239" s="34" customFormat="1"/>
    <row r="2240" s="34" customFormat="1"/>
    <row r="2241" s="34" customFormat="1"/>
    <row r="2242" s="34" customFormat="1"/>
    <row r="2243" s="34" customFormat="1"/>
    <row r="2244" s="34" customFormat="1"/>
    <row r="2245" s="34" customFormat="1"/>
    <row r="2246" s="34" customFormat="1"/>
    <row r="2247" s="34" customFormat="1"/>
    <row r="2248" s="34" customFormat="1"/>
    <row r="2249" s="34" customFormat="1"/>
    <row r="2250" s="34" customFormat="1"/>
    <row r="2251" s="34" customFormat="1"/>
    <row r="2252" s="34" customFormat="1"/>
    <row r="2253" s="34" customFormat="1"/>
    <row r="2254" s="34" customFormat="1"/>
    <row r="2255" s="34" customFormat="1"/>
    <row r="2256" s="34" customFormat="1"/>
    <row r="2257" s="34" customFormat="1"/>
    <row r="2258" s="34" customFormat="1"/>
    <row r="2259" s="34" customFormat="1"/>
    <row r="2260" s="34" customFormat="1"/>
    <row r="2261" s="34" customFormat="1"/>
    <row r="2262" s="34" customFormat="1"/>
    <row r="2263" s="34" customFormat="1"/>
    <row r="2264" s="34" customFormat="1"/>
    <row r="2265" s="34" customFormat="1"/>
    <row r="2266" s="34" customFormat="1"/>
    <row r="2267" s="34" customFormat="1"/>
    <row r="2268" s="34" customFormat="1"/>
    <row r="2269" s="34" customFormat="1"/>
    <row r="2270" s="34" customFormat="1"/>
    <row r="2271" s="34" customFormat="1"/>
    <row r="2272" s="34" customFormat="1"/>
    <row r="2273" s="34" customFormat="1"/>
    <row r="2274" s="34" customFormat="1"/>
    <row r="2275" s="34" customFormat="1"/>
    <row r="2276" s="34" customFormat="1"/>
    <row r="2277" s="34" customFormat="1"/>
    <row r="2278" s="34" customFormat="1"/>
    <row r="2279" s="34" customFormat="1"/>
    <row r="2280" s="34" customFormat="1"/>
    <row r="2281" s="34" customFormat="1"/>
    <row r="2282" s="34" customFormat="1"/>
    <row r="2283" s="34" customFormat="1"/>
    <row r="2284" s="34" customFormat="1"/>
    <row r="2285" s="34" customFormat="1"/>
    <row r="2286" s="34" customFormat="1"/>
    <row r="2287" s="34" customFormat="1"/>
    <row r="2288" s="34" customFormat="1"/>
    <row r="2289" s="34" customFormat="1"/>
    <row r="2290" s="34" customFormat="1"/>
    <row r="2291" s="34" customFormat="1"/>
    <row r="2292" s="34" customFormat="1"/>
    <row r="2293" s="34" customFormat="1"/>
    <row r="2294" s="34" customFormat="1"/>
    <row r="2295" s="34" customFormat="1"/>
    <row r="2296" s="34" customFormat="1"/>
    <row r="2297" s="34" customFormat="1"/>
    <row r="2298" s="34" customFormat="1"/>
    <row r="2299" s="34" customFormat="1"/>
    <row r="2300" s="34" customFormat="1"/>
    <row r="2301" s="34" customFormat="1"/>
    <row r="2302" s="34" customFormat="1"/>
    <row r="2303" s="34" customFormat="1"/>
    <row r="2304" s="34" customFormat="1"/>
    <row r="2305" s="34" customFormat="1"/>
    <row r="2306" s="34" customFormat="1"/>
    <row r="2307" s="34" customFormat="1"/>
    <row r="2308" s="34" customFormat="1"/>
    <row r="2309" s="34" customFormat="1"/>
    <row r="2310" s="34" customFormat="1"/>
    <row r="2311" s="34" customFormat="1"/>
    <row r="2312" s="34" customFormat="1"/>
    <row r="2313" s="34" customFormat="1"/>
    <row r="2314" s="34" customFormat="1"/>
    <row r="2315" s="34" customFormat="1"/>
    <row r="2316" s="34" customFormat="1"/>
    <row r="2317" s="34" customFormat="1"/>
    <row r="2318" s="34" customFormat="1"/>
    <row r="2319" s="34" customFormat="1"/>
    <row r="2320" s="34" customFormat="1"/>
    <row r="2321" s="34" customFormat="1"/>
    <row r="2322" s="34" customFormat="1"/>
    <row r="2323" s="34" customFormat="1"/>
    <row r="2324" s="34" customFormat="1"/>
    <row r="2325" s="34" customFormat="1"/>
    <row r="2326" s="34" customFormat="1"/>
    <row r="2327" s="34" customFormat="1"/>
    <row r="2328" s="34" customFormat="1"/>
    <row r="2329" s="34" customFormat="1"/>
    <row r="2330" s="34" customFormat="1"/>
    <row r="2331" s="34" customFormat="1"/>
    <row r="2332" s="34" customFormat="1"/>
    <row r="2333" s="34" customFormat="1"/>
    <row r="2334" s="34" customFormat="1"/>
    <row r="2335" s="34" customFormat="1"/>
    <row r="2336" s="34" customFormat="1"/>
    <row r="2337" s="34" customFormat="1"/>
    <row r="2338" s="34" customFormat="1"/>
    <row r="2339" s="34" customFormat="1"/>
    <row r="2340" s="34" customFormat="1"/>
    <row r="2341" s="34" customFormat="1"/>
    <row r="2342" s="34" customFormat="1"/>
    <row r="2343" s="34" customFormat="1"/>
    <row r="2344" s="34" customFormat="1"/>
    <row r="2345" s="34" customFormat="1"/>
    <row r="2346" s="34" customFormat="1"/>
    <row r="2347" s="34" customFormat="1"/>
    <row r="2348" s="34" customFormat="1"/>
    <row r="2349" s="34" customFormat="1"/>
    <row r="2350" s="34" customFormat="1"/>
    <row r="2351" s="34" customFormat="1"/>
    <row r="2352" s="34" customFormat="1"/>
    <row r="2353" s="34" customFormat="1"/>
    <row r="2354" s="34" customFormat="1"/>
    <row r="2355" s="34" customFormat="1"/>
    <row r="2356" s="34" customFormat="1"/>
    <row r="2357" s="34" customFormat="1"/>
    <row r="2358" s="34" customFormat="1"/>
    <row r="2359" s="34" customFormat="1"/>
    <row r="2360" s="34" customFormat="1"/>
    <row r="2361" s="34" customFormat="1"/>
    <row r="2362" s="34" customFormat="1"/>
    <row r="2363" s="34" customFormat="1"/>
    <row r="2364" s="34" customFormat="1"/>
    <row r="2365" s="34" customFormat="1"/>
    <row r="2366" s="34" customFormat="1"/>
    <row r="2367" s="34" customFormat="1"/>
    <row r="2368" s="34" customFormat="1"/>
    <row r="2369" s="34" customFormat="1"/>
    <row r="2370" s="34" customFormat="1"/>
    <row r="2371" s="34" customFormat="1"/>
    <row r="2372" s="34" customFormat="1"/>
    <row r="2373" s="34" customFormat="1"/>
    <row r="2374" s="34" customFormat="1"/>
    <row r="2375" s="34" customFormat="1"/>
    <row r="2376" s="34" customFormat="1"/>
    <row r="2377" s="34" customFormat="1"/>
    <row r="2378" s="34" customFormat="1"/>
    <row r="2379" s="34" customFormat="1"/>
    <row r="2380" s="34" customFormat="1"/>
    <row r="2381" s="34" customFormat="1"/>
    <row r="2382" s="34" customFormat="1"/>
    <row r="2383" s="34" customFormat="1"/>
    <row r="2384" s="34" customFormat="1"/>
    <row r="2385" s="34" customFormat="1"/>
    <row r="2386" s="34" customFormat="1"/>
    <row r="2387" s="34" customFormat="1"/>
    <row r="2388" s="34" customFormat="1"/>
    <row r="2389" s="34" customFormat="1"/>
    <row r="2390" s="34" customFormat="1"/>
    <row r="2391" s="34" customFormat="1"/>
    <row r="2392" s="34" customFormat="1"/>
    <row r="2393" s="34" customFormat="1"/>
    <row r="2394" s="34" customFormat="1"/>
    <row r="2395" s="34" customFormat="1"/>
    <row r="2396" s="34" customFormat="1"/>
    <row r="2397" s="34" customFormat="1"/>
    <row r="2398" s="34" customFormat="1"/>
    <row r="2399" s="34" customFormat="1"/>
    <row r="2400" s="34" customFormat="1"/>
    <row r="2401" s="34" customFormat="1"/>
    <row r="2402" s="34" customFormat="1"/>
    <row r="2403" s="34" customFormat="1"/>
    <row r="2404" s="34" customFormat="1"/>
    <row r="2405" s="34" customFormat="1"/>
    <row r="2406" s="34" customFormat="1"/>
    <row r="2407" s="34" customFormat="1"/>
    <row r="2408" s="34" customFormat="1"/>
    <row r="2409" s="34" customFormat="1"/>
    <row r="2410" s="34" customFormat="1"/>
    <row r="2411" s="34" customFormat="1"/>
    <row r="2412" s="34" customFormat="1"/>
    <row r="2413" s="34" customFormat="1"/>
    <row r="2414" s="34" customFormat="1"/>
    <row r="2415" s="34" customFormat="1"/>
    <row r="2416" s="34" customFormat="1"/>
    <row r="2417" s="34" customFormat="1"/>
    <row r="2418" s="34" customFormat="1"/>
    <row r="2419" s="34" customFormat="1"/>
    <row r="2420" s="34" customFormat="1"/>
    <row r="2421" s="34" customFormat="1"/>
    <row r="2422" s="34" customFormat="1"/>
    <row r="2423" s="34" customFormat="1"/>
    <row r="2424" s="34" customFormat="1"/>
    <row r="2425" s="34" customFormat="1"/>
    <row r="2426" s="34" customFormat="1"/>
    <row r="2427" s="34" customFormat="1"/>
    <row r="2428" s="34" customFormat="1"/>
    <row r="2429" s="34" customFormat="1"/>
    <row r="2430" s="34" customFormat="1"/>
    <row r="2431" s="34" customFormat="1"/>
    <row r="2432" s="34" customFormat="1"/>
    <row r="2433" s="34" customFormat="1"/>
    <row r="2434" s="34" customFormat="1"/>
    <row r="2435" s="34" customFormat="1"/>
    <row r="2436" s="34" customFormat="1"/>
    <row r="2437" s="34" customFormat="1"/>
    <row r="2438" s="34" customFormat="1"/>
    <row r="2439" s="34" customFormat="1"/>
    <row r="2440" s="34" customFormat="1"/>
    <row r="2441" s="34" customFormat="1"/>
    <row r="2442" s="34" customFormat="1"/>
    <row r="2443" s="34" customFormat="1"/>
    <row r="2444" s="34" customFormat="1"/>
    <row r="2445" s="34" customFormat="1"/>
    <row r="2446" s="34" customFormat="1"/>
    <row r="2447" s="34" customFormat="1"/>
    <row r="2448" s="34" customFormat="1"/>
    <row r="2449" s="34" customFormat="1"/>
    <row r="2450" s="34" customFormat="1"/>
    <row r="2451" s="34" customFormat="1"/>
    <row r="2452" s="34" customFormat="1"/>
    <row r="2453" s="34" customFormat="1"/>
    <row r="2454" s="34" customFormat="1"/>
    <row r="2455" s="34" customFormat="1"/>
    <row r="2456" s="34" customFormat="1"/>
    <row r="2457" s="34" customFormat="1"/>
    <row r="2458" s="34" customFormat="1"/>
    <row r="2459" s="34" customFormat="1"/>
    <row r="2460" s="34" customFormat="1"/>
    <row r="2461" s="34" customFormat="1"/>
    <row r="2462" s="34" customFormat="1"/>
    <row r="2463" s="34" customFormat="1"/>
    <row r="2464" s="34" customFormat="1"/>
    <row r="2465" s="34" customFormat="1"/>
    <row r="2466" s="34" customFormat="1"/>
    <row r="2467" s="34" customFormat="1"/>
    <row r="2468" s="34" customFormat="1"/>
    <row r="2469" s="34" customFormat="1"/>
    <row r="2470" s="34" customFormat="1"/>
    <row r="2471" s="34" customFormat="1"/>
    <row r="2472" s="34" customFormat="1"/>
    <row r="2473" s="34" customFormat="1"/>
    <row r="2474" s="34" customFormat="1"/>
    <row r="2475" s="34" customFormat="1"/>
    <row r="2476" s="34" customFormat="1"/>
    <row r="2477" s="34" customFormat="1"/>
    <row r="2478" s="34" customFormat="1"/>
    <row r="2479" s="34" customFormat="1"/>
    <row r="2480" s="34" customFormat="1"/>
    <row r="2481" s="34" customFormat="1"/>
    <row r="2482" s="34" customFormat="1"/>
    <row r="2483" s="34" customFormat="1"/>
    <row r="2484" s="34" customFormat="1"/>
    <row r="2485" s="34" customFormat="1"/>
    <row r="2486" s="34" customFormat="1"/>
    <row r="2487" s="34" customFormat="1"/>
    <row r="2488" s="34" customFormat="1"/>
    <row r="2489" s="34" customFormat="1"/>
    <row r="2490" s="34" customFormat="1"/>
    <row r="2491" s="34" customFormat="1"/>
    <row r="2492" s="34" customFormat="1"/>
    <row r="2493" s="34" customFormat="1"/>
    <row r="2494" s="34" customFormat="1"/>
    <row r="2495" s="34" customFormat="1"/>
    <row r="2496" s="34" customFormat="1"/>
    <row r="2497" s="34" customFormat="1"/>
    <row r="2498" s="34" customFormat="1"/>
    <row r="2499" s="34" customFormat="1"/>
    <row r="2500" s="34" customFormat="1"/>
    <row r="2501" s="34" customFormat="1"/>
    <row r="2502" s="34" customFormat="1"/>
    <row r="2503" s="34" customFormat="1"/>
    <row r="2504" s="34" customFormat="1"/>
    <row r="2505" s="34" customFormat="1"/>
    <row r="2506" s="34" customFormat="1"/>
    <row r="2507" s="34" customFormat="1"/>
    <row r="2508" s="34" customFormat="1"/>
    <row r="2509" s="34" customFormat="1"/>
    <row r="2510" s="34" customFormat="1"/>
    <row r="2511" s="34" customFormat="1"/>
    <row r="2512" s="34" customFormat="1"/>
    <row r="2513" s="34" customFormat="1"/>
    <row r="2514" s="34" customFormat="1"/>
    <row r="2515" s="34" customFormat="1"/>
    <row r="2516" s="34" customFormat="1"/>
    <row r="2517" s="34" customFormat="1"/>
    <row r="2518" s="34" customFormat="1"/>
    <row r="2519" s="34" customFormat="1"/>
    <row r="2520" s="34" customFormat="1"/>
    <row r="2521" s="34" customFormat="1"/>
    <row r="2522" s="34" customFormat="1"/>
    <row r="2523" s="34" customFormat="1"/>
    <row r="2524" s="34" customFormat="1"/>
    <row r="2525" s="34" customFormat="1"/>
    <row r="2526" s="34" customFormat="1"/>
    <row r="2527" s="34" customFormat="1"/>
    <row r="2528" s="34" customFormat="1"/>
    <row r="2529" s="34" customFormat="1"/>
    <row r="2530" s="34" customFormat="1"/>
    <row r="2531" s="34" customFormat="1"/>
    <row r="2532" s="34" customFormat="1"/>
    <row r="2533" s="34" customFormat="1"/>
    <row r="2534" s="34" customFormat="1"/>
    <row r="2535" s="34" customFormat="1"/>
    <row r="2536" s="34" customFormat="1"/>
    <row r="2537" s="34" customFormat="1"/>
    <row r="2538" s="34" customFormat="1"/>
    <row r="2539" s="34" customFormat="1"/>
    <row r="2540" s="34" customFormat="1"/>
    <row r="2541" s="34" customFormat="1"/>
    <row r="2542" s="34" customFormat="1"/>
    <row r="2543" s="34" customFormat="1"/>
    <row r="2544" s="34" customFormat="1"/>
    <row r="2545" s="34" customFormat="1"/>
    <row r="2546" s="34" customFormat="1"/>
    <row r="2547" s="34" customFormat="1"/>
    <row r="2548" s="34" customFormat="1"/>
    <row r="2549" s="34" customFormat="1"/>
    <row r="2550" s="34" customFormat="1"/>
    <row r="2551" s="34" customFormat="1"/>
    <row r="2552" s="34" customFormat="1"/>
    <row r="2553" s="34" customFormat="1"/>
    <row r="2554" s="34" customFormat="1"/>
    <row r="2555" s="34" customFormat="1"/>
    <row r="2556" s="34" customFormat="1"/>
    <row r="2557" s="34" customFormat="1"/>
    <row r="2558" s="34" customFormat="1"/>
    <row r="2559" s="34" customFormat="1"/>
    <row r="2560" s="34" customFormat="1"/>
    <row r="2561" s="34" customFormat="1"/>
    <row r="2562" s="34" customFormat="1"/>
    <row r="2563" s="34" customFormat="1"/>
    <row r="2564" s="34" customFormat="1"/>
    <row r="2565" s="34" customFormat="1"/>
    <row r="2566" s="34" customFormat="1"/>
    <row r="2567" s="34" customFormat="1"/>
    <row r="2568" s="34" customFormat="1"/>
    <row r="2569" s="34" customFormat="1"/>
    <row r="2570" s="34" customFormat="1"/>
    <row r="2571" s="34" customFormat="1"/>
    <row r="2572" s="34" customFormat="1"/>
    <row r="2573" s="34" customFormat="1"/>
    <row r="2574" s="34" customFormat="1"/>
    <row r="2575" s="34" customFormat="1"/>
    <row r="2576" s="34" customFormat="1"/>
    <row r="2577" s="34" customFormat="1"/>
    <row r="2578" s="34" customFormat="1"/>
    <row r="2579" s="34" customFormat="1"/>
    <row r="2580" s="34" customFormat="1"/>
    <row r="2581" s="34" customFormat="1"/>
    <row r="2582" s="34" customFormat="1"/>
    <row r="2583" s="34" customFormat="1"/>
    <row r="2584" s="34" customFormat="1"/>
    <row r="2585" s="34" customFormat="1"/>
    <row r="2586" s="34" customFormat="1"/>
    <row r="2587" s="34" customFormat="1"/>
    <row r="2588" s="34" customFormat="1"/>
    <row r="2589" s="34" customFormat="1"/>
    <row r="2590" s="34" customFormat="1"/>
    <row r="2591" s="34" customFormat="1"/>
    <row r="2592" s="34" customFormat="1"/>
    <row r="2593" s="34" customFormat="1"/>
    <row r="2594" s="34" customFormat="1"/>
    <row r="2595" s="34" customFormat="1"/>
    <row r="2596" s="34" customFormat="1"/>
    <row r="2597" s="34" customFormat="1"/>
    <row r="2598" s="34" customFormat="1"/>
    <row r="2599" s="34" customFormat="1"/>
    <row r="2600" s="34" customFormat="1"/>
    <row r="2601" s="34" customFormat="1"/>
    <row r="2602" s="34" customFormat="1"/>
    <row r="2603" s="34" customFormat="1"/>
    <row r="2604" s="34" customFormat="1"/>
    <row r="2605" s="34" customFormat="1"/>
    <row r="2606" s="34" customFormat="1"/>
    <row r="2607" s="34" customFormat="1"/>
    <row r="2608" s="34" customFormat="1"/>
    <row r="2609" s="34" customFormat="1"/>
    <row r="2610" s="34" customFormat="1"/>
    <row r="2611" s="34" customFormat="1"/>
    <row r="2612" s="34" customFormat="1"/>
    <row r="2613" s="34" customFormat="1"/>
    <row r="2614" s="34" customFormat="1"/>
    <row r="2615" s="34" customFormat="1"/>
    <row r="2616" s="34" customFormat="1"/>
    <row r="2617" s="34" customFormat="1"/>
    <row r="2618" s="34" customFormat="1"/>
    <row r="2619" s="34" customFormat="1"/>
    <row r="2620" s="34" customFormat="1"/>
    <row r="2621" s="34" customFormat="1"/>
    <row r="2622" s="34" customFormat="1"/>
    <row r="2623" s="34" customFormat="1"/>
    <row r="2624" s="34" customFormat="1"/>
    <row r="2625" s="34" customFormat="1"/>
    <row r="2626" s="34" customFormat="1"/>
    <row r="2627" s="34" customFormat="1"/>
    <row r="2628" s="34" customFormat="1"/>
    <row r="2629" s="34" customFormat="1"/>
    <row r="2630" s="34" customFormat="1"/>
    <row r="2631" s="34" customFormat="1"/>
    <row r="2632" s="34" customFormat="1"/>
    <row r="2633" s="34" customFormat="1"/>
    <row r="2634" s="34" customFormat="1"/>
    <row r="2635" s="34" customFormat="1"/>
    <row r="2636" s="34" customFormat="1"/>
    <row r="2637" s="34" customFormat="1"/>
    <row r="2638" s="34" customFormat="1"/>
    <row r="2639" s="34" customFormat="1"/>
    <row r="2640" s="34" customFormat="1"/>
    <row r="2641" s="34" customFormat="1"/>
    <row r="2642" s="34" customFormat="1"/>
    <row r="2643" s="34" customFormat="1"/>
    <row r="2644" s="34" customFormat="1"/>
    <row r="2645" s="34" customFormat="1"/>
    <row r="2646" s="34" customFormat="1"/>
    <row r="2647" s="34" customFormat="1"/>
    <row r="2648" s="34" customFormat="1"/>
    <row r="2649" s="34" customFormat="1"/>
    <row r="2650" s="34" customFormat="1"/>
    <row r="2651" s="34" customFormat="1"/>
    <row r="2652" s="34" customFormat="1"/>
    <row r="2653" s="34" customFormat="1"/>
    <row r="2654" s="34" customFormat="1"/>
    <row r="2655" s="34" customFormat="1"/>
    <row r="2656" s="34" customFormat="1"/>
    <row r="2657" s="34" customFormat="1"/>
    <row r="2658" s="34" customFormat="1"/>
    <row r="2659" s="34" customFormat="1"/>
    <row r="2660" s="34" customFormat="1"/>
    <row r="2661" s="34" customFormat="1"/>
    <row r="2662" s="34" customFormat="1"/>
    <row r="2663" s="34" customFormat="1"/>
    <row r="2664" s="34" customFormat="1"/>
    <row r="2665" s="34" customFormat="1"/>
    <row r="2666" s="34" customFormat="1"/>
    <row r="2667" s="34" customFormat="1"/>
    <row r="2668" s="34" customFormat="1"/>
    <row r="2669" s="34" customFormat="1"/>
    <row r="2670" s="34" customFormat="1"/>
    <row r="2671" s="34" customFormat="1"/>
    <row r="2672" s="34" customFormat="1"/>
    <row r="2673" s="34" customFormat="1"/>
    <row r="2674" s="34" customFormat="1"/>
    <row r="2675" s="34" customFormat="1"/>
    <row r="2676" s="34" customFormat="1"/>
    <row r="2677" s="34" customFormat="1"/>
    <row r="2678" s="34" customFormat="1"/>
    <row r="2679" s="34" customFormat="1"/>
    <row r="2680" s="34" customFormat="1"/>
    <row r="2681" s="34" customFormat="1"/>
    <row r="2682" s="34" customFormat="1"/>
    <row r="2683" s="34" customFormat="1"/>
    <row r="2684" s="34" customFormat="1"/>
    <row r="2685" s="34" customFormat="1"/>
    <row r="2686" s="34" customFormat="1"/>
    <row r="2687" s="34" customFormat="1"/>
    <row r="2688" s="34" customFormat="1"/>
    <row r="2689" s="34" customFormat="1"/>
    <row r="2690" s="34" customFormat="1"/>
    <row r="2691" s="34" customFormat="1"/>
    <row r="2692" s="34" customFormat="1"/>
    <row r="2693" s="34" customFormat="1"/>
    <row r="2694" s="34" customFormat="1"/>
    <row r="2695" s="34" customFormat="1"/>
    <row r="2696" s="34" customFormat="1"/>
    <row r="2697" s="34" customFormat="1"/>
    <row r="2698" s="34" customFormat="1"/>
    <row r="2699" s="34" customFormat="1"/>
    <row r="2700" s="34" customFormat="1"/>
    <row r="2701" s="34" customFormat="1"/>
    <row r="2702" s="34" customFormat="1"/>
    <row r="2703" s="34" customFormat="1"/>
    <row r="2704" s="34" customFormat="1"/>
    <row r="2705" s="34" customFormat="1"/>
    <row r="2706" s="34" customFormat="1"/>
    <row r="2707" s="34" customFormat="1"/>
    <row r="2708" s="34" customFormat="1"/>
    <row r="2709" s="34" customFormat="1"/>
    <row r="2710" s="34" customFormat="1"/>
    <row r="2711" s="34" customFormat="1"/>
    <row r="2712" s="34" customFormat="1"/>
    <row r="2713" s="34" customFormat="1"/>
    <row r="2714" s="34" customFormat="1"/>
    <row r="2715" s="34" customFormat="1"/>
    <row r="2716" s="34" customFormat="1"/>
    <row r="2717" s="34" customFormat="1"/>
    <row r="2718" s="34" customFormat="1"/>
    <row r="2719" s="34" customFormat="1"/>
    <row r="2720" s="34" customFormat="1"/>
    <row r="2721" s="34" customFormat="1"/>
    <row r="2722" s="34" customFormat="1"/>
    <row r="2723" s="34" customFormat="1"/>
    <row r="2724" s="34" customFormat="1"/>
    <row r="2725" s="34" customFormat="1"/>
    <row r="2726" s="34" customFormat="1"/>
    <row r="2727" s="34" customFormat="1"/>
    <row r="2728" s="34" customFormat="1"/>
    <row r="2729" s="34" customFormat="1"/>
    <row r="2730" s="34" customFormat="1"/>
    <row r="2731" s="34" customFormat="1"/>
    <row r="2732" s="34" customFormat="1"/>
    <row r="2733" s="34" customFormat="1"/>
    <row r="2734" s="34" customFormat="1"/>
    <row r="2735" s="34" customFormat="1"/>
    <row r="2736" s="34" customFormat="1"/>
    <row r="2737" s="34" customFormat="1"/>
    <row r="2738" s="34" customFormat="1"/>
    <row r="2739" s="34" customFormat="1"/>
    <row r="2740" s="34" customFormat="1"/>
    <row r="2741" s="34" customFormat="1"/>
    <row r="2742" s="34" customFormat="1"/>
    <row r="2743" s="34" customFormat="1"/>
    <row r="2744" s="34" customFormat="1"/>
    <row r="2745" s="34" customFormat="1"/>
    <row r="2746" s="34" customFormat="1"/>
    <row r="2747" s="34" customFormat="1"/>
    <row r="2748" s="34" customFormat="1"/>
    <row r="2749" s="34" customFormat="1"/>
    <row r="2750" s="34" customFormat="1"/>
    <row r="2751" s="34" customFormat="1"/>
    <row r="2752" s="34" customFormat="1"/>
    <row r="2753" s="34" customFormat="1"/>
    <row r="2754" s="34" customFormat="1"/>
    <row r="2755" s="34" customFormat="1"/>
    <row r="2756" s="34" customFormat="1"/>
    <row r="2757" s="34" customFormat="1"/>
    <row r="2758" s="34" customFormat="1"/>
    <row r="2759" s="34" customFormat="1"/>
    <row r="2760" s="34" customFormat="1"/>
    <row r="2761" s="34" customFormat="1"/>
    <row r="2762" s="34" customFormat="1"/>
    <row r="2763" s="34" customFormat="1"/>
    <row r="2764" s="34" customFormat="1"/>
    <row r="2765" s="34" customFormat="1"/>
    <row r="2766" s="34" customFormat="1"/>
    <row r="2767" s="34" customFormat="1"/>
    <row r="2768" s="34" customFormat="1"/>
    <row r="2769" s="34" customFormat="1"/>
    <row r="2770" s="34" customFormat="1"/>
    <row r="2771" s="34" customFormat="1"/>
    <row r="2772" s="34" customFormat="1"/>
    <row r="2773" s="34" customFormat="1"/>
    <row r="2774" s="34" customFormat="1"/>
    <row r="2775" s="34" customFormat="1"/>
    <row r="2776" s="34" customFormat="1"/>
    <row r="2777" s="34" customFormat="1"/>
    <row r="2778" s="34" customFormat="1"/>
    <row r="2779" s="34" customFormat="1"/>
    <row r="2780" s="34" customFormat="1"/>
    <row r="2781" s="34" customFormat="1"/>
    <row r="2782" s="34" customFormat="1"/>
    <row r="2783" s="34" customFormat="1"/>
    <row r="2784" s="34" customFormat="1"/>
    <row r="2785" s="34" customFormat="1"/>
    <row r="2786" s="34" customFormat="1"/>
    <row r="2787" s="34" customFormat="1"/>
    <row r="2788" s="34" customFormat="1"/>
    <row r="2789" s="34" customFormat="1"/>
    <row r="2790" s="34" customFormat="1"/>
    <row r="2791" s="34" customFormat="1"/>
    <row r="2792" s="34" customFormat="1"/>
    <row r="2793" s="34" customFormat="1"/>
    <row r="2794" s="34" customFormat="1"/>
    <row r="2795" s="34" customFormat="1"/>
    <row r="2796" s="34" customFormat="1"/>
    <row r="2797" s="34" customFormat="1"/>
    <row r="2798" s="34" customFormat="1"/>
    <row r="2799" s="34" customFormat="1"/>
    <row r="2800" s="34" customFormat="1"/>
    <row r="2801" s="34" customFormat="1"/>
    <row r="2802" s="34" customFormat="1"/>
    <row r="2803" s="34" customFormat="1"/>
    <row r="2804" s="34" customFormat="1"/>
    <row r="2805" s="34" customFormat="1"/>
    <row r="2806" s="34" customFormat="1"/>
    <row r="2807" s="34" customFormat="1"/>
    <row r="2808" s="34" customFormat="1"/>
    <row r="2809" s="34" customFormat="1"/>
    <row r="2810" s="34" customFormat="1"/>
    <row r="2811" s="34" customFormat="1"/>
    <row r="2812" s="34" customFormat="1"/>
    <row r="2813" s="34" customFormat="1"/>
    <row r="2814" s="34" customFormat="1"/>
    <row r="2815" s="34" customFormat="1"/>
    <row r="2816" s="34" customFormat="1"/>
    <row r="2817" s="34" customFormat="1"/>
    <row r="2818" s="34" customFormat="1"/>
    <row r="2819" s="34" customFormat="1"/>
    <row r="2820" s="34" customFormat="1"/>
    <row r="2821" s="34" customFormat="1"/>
    <row r="2822" s="34" customFormat="1"/>
    <row r="2823" s="34" customFormat="1"/>
    <row r="2824" s="34" customFormat="1"/>
    <row r="2825" s="34" customFormat="1"/>
    <row r="2826" s="34" customFormat="1"/>
    <row r="2827" s="34" customFormat="1"/>
    <row r="2828" s="34" customFormat="1"/>
    <row r="2829" s="34" customFormat="1"/>
    <row r="2830" s="34" customFormat="1"/>
    <row r="2831" s="34" customFormat="1"/>
    <row r="2832" s="34" customFormat="1"/>
    <row r="2833" s="34" customFormat="1"/>
    <row r="2834" s="34" customFormat="1"/>
    <row r="2835" s="34" customFormat="1"/>
    <row r="2836" s="34" customFormat="1"/>
    <row r="2837" s="34" customFormat="1"/>
    <row r="2838" s="34" customFormat="1"/>
    <row r="2839" s="34" customFormat="1"/>
    <row r="2840" s="34" customFormat="1"/>
    <row r="2841" s="34" customFormat="1"/>
    <row r="2842" s="34" customFormat="1"/>
    <row r="2843" s="34" customFormat="1"/>
    <row r="2844" s="34" customFormat="1"/>
    <row r="2845" s="34" customFormat="1"/>
    <row r="2846" s="34" customFormat="1"/>
    <row r="2847" s="34" customFormat="1"/>
    <row r="2848" s="34" customFormat="1"/>
    <row r="2849" s="34" customFormat="1"/>
    <row r="2850" s="34" customFormat="1"/>
    <row r="2851" s="34" customFormat="1"/>
    <row r="2852" s="34" customFormat="1"/>
    <row r="2853" s="34" customFormat="1"/>
    <row r="2854" s="34" customFormat="1"/>
    <row r="2855" s="34" customFormat="1"/>
    <row r="2856" s="34" customFormat="1"/>
    <row r="2857" s="34" customFormat="1"/>
    <row r="2858" s="34" customFormat="1"/>
    <row r="2859" s="34" customFormat="1"/>
    <row r="2860" s="34" customFormat="1"/>
    <row r="2861" s="34" customFormat="1"/>
    <row r="2862" s="34" customFormat="1"/>
    <row r="2863" s="34" customFormat="1"/>
    <row r="2864" s="34" customFormat="1"/>
    <row r="2865" s="34" customFormat="1"/>
    <row r="2866" s="34" customFormat="1"/>
    <row r="2867" s="34" customFormat="1"/>
    <row r="2868" s="34" customFormat="1"/>
    <row r="2869" s="34" customFormat="1"/>
    <row r="2870" s="34" customFormat="1"/>
    <row r="2871" s="34" customFormat="1"/>
    <row r="2872" s="34" customFormat="1"/>
    <row r="2873" s="34" customFormat="1"/>
    <row r="2874" s="34" customFormat="1"/>
    <row r="2875" s="34" customFormat="1"/>
    <row r="2876" s="34" customFormat="1"/>
    <row r="2877" s="34" customFormat="1"/>
    <row r="2878" s="34" customFormat="1"/>
    <row r="2879" s="34" customFormat="1"/>
    <row r="2880" s="34" customFormat="1"/>
    <row r="2881" s="34" customFormat="1"/>
    <row r="2882" s="34" customFormat="1"/>
    <row r="2883" s="34" customFormat="1"/>
    <row r="2884" s="34" customFormat="1"/>
    <row r="2885" s="34" customFormat="1"/>
    <row r="2886" s="34" customFormat="1"/>
    <row r="2887" s="34" customFormat="1"/>
    <row r="2888" s="34" customFormat="1"/>
    <row r="2889" s="34" customFormat="1"/>
    <row r="2890" s="34" customFormat="1"/>
    <row r="2891" s="34" customFormat="1"/>
    <row r="2892" s="34" customFormat="1"/>
    <row r="2893" s="34" customFormat="1"/>
    <row r="2894" s="34" customFormat="1"/>
    <row r="2895" s="34" customFormat="1"/>
    <row r="2896" s="34" customFormat="1"/>
    <row r="2897" s="34" customFormat="1"/>
    <row r="2898" s="34" customFormat="1"/>
    <row r="2899" s="34" customFormat="1"/>
    <row r="2900" s="34" customFormat="1"/>
    <row r="2901" s="34" customFormat="1"/>
    <row r="2902" s="34" customFormat="1"/>
    <row r="2903" s="34" customFormat="1"/>
    <row r="2904" s="34" customFormat="1"/>
    <row r="2905" s="34" customFormat="1"/>
    <row r="2906" s="34" customFormat="1"/>
    <row r="2907" s="34" customFormat="1"/>
    <row r="2908" s="34" customFormat="1"/>
    <row r="2909" s="34" customFormat="1"/>
    <row r="2910" s="34" customFormat="1"/>
    <row r="2911" s="34" customFormat="1"/>
    <row r="2912" s="34" customFormat="1"/>
    <row r="2913" s="34" customFormat="1"/>
    <row r="2914" s="34" customFormat="1"/>
    <row r="2915" s="34" customFormat="1"/>
    <row r="2916" s="34" customFormat="1"/>
    <row r="2917" s="34" customFormat="1"/>
    <row r="2918" s="34" customFormat="1"/>
    <row r="2919" s="34" customFormat="1"/>
    <row r="2920" s="34" customFormat="1"/>
    <row r="2921" s="34" customFormat="1"/>
    <row r="2922" s="34" customFormat="1"/>
    <row r="2923" s="34" customFormat="1"/>
    <row r="2924" s="34" customFormat="1"/>
    <row r="2925" s="34" customFormat="1"/>
    <row r="2926" s="34" customFormat="1"/>
    <row r="2927" s="34" customFormat="1"/>
    <row r="2928" s="34" customFormat="1"/>
    <row r="2929" s="34" customFormat="1"/>
    <row r="2930" s="34" customFormat="1"/>
    <row r="2931" s="34" customFormat="1"/>
    <row r="2932" s="34" customFormat="1"/>
    <row r="2933" s="34" customFormat="1"/>
    <row r="2934" s="34" customFormat="1"/>
    <row r="2935" s="34" customFormat="1"/>
    <row r="2936" s="34" customFormat="1"/>
    <row r="2937" s="34" customFormat="1"/>
    <row r="2938" s="34" customFormat="1"/>
    <row r="2939" s="34" customFormat="1"/>
    <row r="2940" s="34" customFormat="1"/>
    <row r="2941" s="34" customFormat="1"/>
    <row r="2942" s="34" customFormat="1"/>
    <row r="2943" s="34" customFormat="1"/>
    <row r="2944" s="34" customFormat="1"/>
    <row r="2945" s="34" customFormat="1"/>
    <row r="2946" s="34" customFormat="1"/>
    <row r="2947" s="34" customFormat="1"/>
    <row r="2948" s="34" customFormat="1"/>
    <row r="2949" s="34" customFormat="1"/>
    <row r="2950" s="34" customFormat="1"/>
    <row r="2951" s="34" customFormat="1"/>
    <row r="2952" s="34" customFormat="1"/>
    <row r="2953" s="34" customFormat="1"/>
    <row r="2954" s="34" customFormat="1"/>
    <row r="2955" s="34" customFormat="1"/>
    <row r="2956" s="34" customFormat="1"/>
    <row r="2957" s="34" customFormat="1"/>
    <row r="2958" s="34" customFormat="1"/>
    <row r="2959" s="34" customFormat="1"/>
    <row r="2960" s="34" customFormat="1"/>
    <row r="2961" s="34" customFormat="1"/>
    <row r="2962" s="34" customFormat="1"/>
    <row r="2963" s="34" customFormat="1"/>
    <row r="2964" s="34" customFormat="1"/>
    <row r="2965" s="34" customFormat="1"/>
    <row r="2966" s="34" customFormat="1"/>
    <row r="2967" s="34" customFormat="1"/>
    <row r="2968" s="34" customFormat="1"/>
    <row r="2969" s="34" customFormat="1"/>
    <row r="2970" s="34" customFormat="1"/>
    <row r="2971" s="34" customFormat="1"/>
    <row r="2972" s="34" customFormat="1"/>
    <row r="2973" s="34" customFormat="1"/>
    <row r="2974" s="34" customFormat="1"/>
    <row r="2975" s="34" customFormat="1"/>
    <row r="2976" s="34" customFormat="1"/>
    <row r="2977" s="34" customFormat="1"/>
    <row r="2978" s="34" customFormat="1"/>
    <row r="2979" s="34" customFormat="1"/>
    <row r="2980" s="34" customFormat="1"/>
    <row r="2981" s="34" customFormat="1"/>
    <row r="2982" s="34" customFormat="1"/>
    <row r="2983" s="34" customFormat="1"/>
    <row r="2984" s="34" customFormat="1"/>
    <row r="2985" s="34" customFormat="1"/>
    <row r="2986" s="34" customFormat="1"/>
    <row r="2987" s="34" customFormat="1"/>
    <row r="2988" s="34" customFormat="1"/>
    <row r="2989" s="34" customFormat="1"/>
    <row r="2990" s="34" customFormat="1"/>
    <row r="2991" s="34" customFormat="1"/>
    <row r="2992" s="34" customFormat="1"/>
    <row r="2993" s="34" customFormat="1"/>
    <row r="2994" s="34" customFormat="1"/>
    <row r="2995" s="34" customFormat="1"/>
    <row r="2996" s="34" customFormat="1"/>
    <row r="2997" s="34" customFormat="1"/>
    <row r="2998" s="34" customFormat="1"/>
    <row r="2999" s="34" customFormat="1"/>
    <row r="3000" s="34" customFormat="1"/>
    <row r="3001" s="34" customFormat="1"/>
    <row r="3002" s="34" customFormat="1"/>
    <row r="3003" s="34" customFormat="1"/>
    <row r="3004" s="34" customFormat="1"/>
    <row r="3005" s="34" customFormat="1"/>
    <row r="3006" s="34" customFormat="1"/>
    <row r="3007" s="34" customFormat="1"/>
    <row r="3008" s="34" customFormat="1"/>
    <row r="3009" s="34" customFormat="1"/>
    <row r="3010" s="34" customFormat="1"/>
    <row r="3011" s="34" customFormat="1"/>
    <row r="3012" s="34" customFormat="1"/>
    <row r="3013" s="34" customFormat="1"/>
    <row r="3014" s="34" customFormat="1"/>
    <row r="3015" s="34" customFormat="1"/>
    <row r="3016" s="34" customFormat="1"/>
    <row r="3017" s="34" customFormat="1"/>
    <row r="3018" s="34" customFormat="1"/>
    <row r="3019" s="34" customFormat="1"/>
    <row r="3020" s="34" customFormat="1"/>
    <row r="3021" s="34" customFormat="1"/>
    <row r="3022" s="34" customFormat="1"/>
    <row r="3023" s="34" customFormat="1"/>
    <row r="3024" s="34" customFormat="1"/>
    <row r="3025" s="34" customFormat="1"/>
    <row r="3026" s="34" customFormat="1"/>
    <row r="3027" s="34" customFormat="1"/>
    <row r="3028" s="34" customFormat="1"/>
    <row r="3029" s="34" customFormat="1"/>
    <row r="3030" s="34" customFormat="1"/>
    <row r="3031" s="34" customFormat="1"/>
    <row r="3032" s="34" customFormat="1"/>
    <row r="3033" s="34" customFormat="1"/>
    <row r="3034" s="34" customFormat="1"/>
    <row r="3035" s="34" customFormat="1"/>
    <row r="3036" s="34" customFormat="1"/>
    <row r="3037" s="34" customFormat="1"/>
    <row r="3038" s="34" customFormat="1"/>
    <row r="3039" s="34" customFormat="1"/>
    <row r="3040" s="34" customFormat="1"/>
    <row r="3041" s="34" customFormat="1"/>
    <row r="3042" s="34" customFormat="1"/>
    <row r="3043" s="34" customFormat="1"/>
    <row r="3044" s="34" customFormat="1"/>
    <row r="3045" s="34" customFormat="1"/>
    <row r="3046" s="34" customFormat="1"/>
    <row r="3047" s="34" customFormat="1"/>
    <row r="3048" s="34" customFormat="1"/>
    <row r="3049" s="34" customFormat="1"/>
    <row r="3050" s="34" customFormat="1"/>
    <row r="3051" s="34" customFormat="1"/>
    <row r="3052" s="34" customFormat="1"/>
    <row r="3053" s="34" customFormat="1"/>
    <row r="3054" s="34" customFormat="1"/>
    <row r="3055" s="34" customFormat="1"/>
    <row r="3056" s="34" customFormat="1"/>
    <row r="3057" s="34" customFormat="1"/>
    <row r="3058" s="34" customFormat="1"/>
    <row r="3059" s="34" customFormat="1"/>
    <row r="3060" s="34" customFormat="1"/>
    <row r="3061" s="34" customFormat="1"/>
    <row r="3062" s="34" customFormat="1"/>
    <row r="3063" s="34" customFormat="1"/>
    <row r="3064" s="34" customFormat="1"/>
    <row r="3065" s="34" customFormat="1"/>
    <row r="3066" s="34" customFormat="1"/>
    <row r="3067" s="34" customFormat="1"/>
    <row r="3068" s="34" customFormat="1"/>
    <row r="3069" s="34" customFormat="1"/>
    <row r="3070" s="34" customFormat="1"/>
    <row r="3071" s="34" customFormat="1"/>
    <row r="3072" s="34" customFormat="1"/>
    <row r="3073" s="34" customFormat="1"/>
    <row r="3074" s="34" customFormat="1"/>
    <row r="3075" s="34" customFormat="1"/>
    <row r="3076" s="34" customFormat="1"/>
    <row r="3077" s="34" customFormat="1"/>
    <row r="3078" s="34" customFormat="1"/>
    <row r="3079" s="34" customFormat="1"/>
    <row r="3080" s="34" customFormat="1"/>
    <row r="3081" s="34" customFormat="1"/>
    <row r="3082" s="34" customFormat="1"/>
    <row r="3083" s="34" customFormat="1"/>
    <row r="3084" s="34" customFormat="1"/>
    <row r="3085" s="34" customFormat="1"/>
    <row r="3086" s="34" customFormat="1"/>
    <row r="3087" s="34" customFormat="1"/>
    <row r="3088" s="34" customFormat="1"/>
    <row r="3089" s="34" customFormat="1"/>
    <row r="3090" s="34" customFormat="1"/>
    <row r="3091" s="34" customFormat="1"/>
    <row r="3092" s="34" customFormat="1"/>
    <row r="3093" s="34" customFormat="1"/>
    <row r="3094" s="34" customFormat="1"/>
    <row r="3095" s="34" customFormat="1"/>
    <row r="3096" s="34" customFormat="1"/>
    <row r="3097" s="34" customFormat="1"/>
    <row r="3098" s="34" customFormat="1"/>
    <row r="3099" s="34" customFormat="1"/>
    <row r="3100" s="34" customFormat="1"/>
    <row r="3101" s="34" customFormat="1"/>
    <row r="3102" s="34" customFormat="1"/>
    <row r="3103" s="34" customFormat="1"/>
    <row r="3104" s="34" customFormat="1"/>
    <row r="3105" s="34" customFormat="1"/>
    <row r="3106" s="34" customFormat="1"/>
    <row r="3107" s="34" customFormat="1"/>
    <row r="3108" s="34" customFormat="1"/>
    <row r="3109" s="34" customFormat="1"/>
    <row r="3110" s="34" customFormat="1"/>
    <row r="3111" s="34" customFormat="1"/>
    <row r="3112" s="34" customFormat="1"/>
    <row r="3113" s="34" customFormat="1"/>
    <row r="3114" s="34" customFormat="1"/>
    <row r="3115" s="34" customFormat="1"/>
    <row r="3116" s="34" customFormat="1"/>
    <row r="3117" s="34" customFormat="1"/>
    <row r="3118" s="34" customFormat="1"/>
    <row r="3119" s="34" customFormat="1"/>
    <row r="3120" s="34" customFormat="1"/>
    <row r="3121" s="34" customFormat="1"/>
    <row r="3122" s="34" customFormat="1"/>
    <row r="3123" s="34" customFormat="1"/>
    <row r="3124" s="34" customFormat="1"/>
    <row r="3125" s="34" customFormat="1"/>
    <row r="3126" s="34" customFormat="1"/>
    <row r="3127" s="34" customFormat="1"/>
    <row r="3128" s="34" customFormat="1"/>
    <row r="3129" s="34" customFormat="1"/>
    <row r="3130" s="34" customFormat="1"/>
    <row r="3131" s="34" customFormat="1"/>
    <row r="3132" s="34" customFormat="1"/>
    <row r="3133" s="34" customFormat="1"/>
    <row r="3134" s="34" customFormat="1"/>
    <row r="3135" s="34" customFormat="1"/>
    <row r="3136" s="34" customFormat="1"/>
    <row r="3137" s="34" customFormat="1"/>
    <row r="3138" s="34" customFormat="1"/>
    <row r="3139" s="34" customFormat="1"/>
    <row r="3140" s="34" customFormat="1"/>
    <row r="3141" s="34" customFormat="1"/>
    <row r="3142" s="34" customFormat="1"/>
    <row r="3143" s="34" customFormat="1"/>
    <row r="3144" s="34" customFormat="1"/>
    <row r="3145" s="34" customFormat="1"/>
    <row r="3146" s="34" customFormat="1"/>
    <row r="3147" s="34" customFormat="1"/>
    <row r="3148" s="34" customFormat="1"/>
    <row r="3149" s="34" customFormat="1"/>
    <row r="3150" s="34" customFormat="1"/>
    <row r="3151" s="34" customFormat="1"/>
    <row r="3152" s="34" customFormat="1"/>
    <row r="3153" s="34" customFormat="1"/>
    <row r="3154" s="34" customFormat="1"/>
    <row r="3155" s="34" customFormat="1"/>
    <row r="3156" s="34" customFormat="1"/>
    <row r="3157" s="34" customFormat="1"/>
    <row r="3158" s="34" customFormat="1"/>
    <row r="3159" s="34" customFormat="1"/>
    <row r="3160" s="34" customFormat="1"/>
    <row r="3161" s="34" customFormat="1"/>
    <row r="3162" s="34" customFormat="1"/>
    <row r="3163" s="34" customFormat="1"/>
    <row r="3164" s="34" customFormat="1"/>
    <row r="3165" s="34" customFormat="1"/>
    <row r="3166" s="34" customFormat="1"/>
    <row r="3167" s="34" customFormat="1"/>
    <row r="3168" s="34" customFormat="1"/>
    <row r="3169" s="34" customFormat="1"/>
    <row r="3170" s="34" customFormat="1"/>
    <row r="3171" s="34" customFormat="1"/>
    <row r="3172" s="34" customFormat="1"/>
    <row r="3173" s="34" customFormat="1"/>
    <row r="3174" s="34" customFormat="1"/>
    <row r="3175" s="34" customFormat="1"/>
    <row r="3176" s="34" customFormat="1"/>
    <row r="3177" s="34" customFormat="1"/>
    <row r="3178" s="34" customFormat="1"/>
    <row r="3179" s="34" customFormat="1"/>
    <row r="3180" s="34" customFormat="1"/>
    <row r="3181" s="34" customFormat="1"/>
    <row r="3182" s="34" customFormat="1"/>
    <row r="3183" s="34" customFormat="1"/>
    <row r="3184" s="34" customFormat="1"/>
    <row r="3185" s="34" customFormat="1"/>
    <row r="3186" s="34" customFormat="1"/>
    <row r="3187" s="34" customFormat="1"/>
    <row r="3188" s="34" customFormat="1"/>
    <row r="3189" s="34" customFormat="1"/>
    <row r="3190" s="34" customFormat="1"/>
    <row r="3191" s="34" customFormat="1"/>
    <row r="3192" s="34" customFormat="1"/>
    <row r="3193" s="34" customFormat="1"/>
    <row r="3194" s="34" customFormat="1"/>
    <row r="3195" s="34" customFormat="1"/>
    <row r="3196" s="34" customFormat="1"/>
    <row r="3197" s="34" customFormat="1"/>
    <row r="3198" s="34" customFormat="1"/>
    <row r="3199" s="34" customFormat="1"/>
    <row r="3200" s="34" customFormat="1"/>
    <row r="3201" s="34" customFormat="1"/>
    <row r="3202" s="34" customFormat="1"/>
    <row r="3203" s="34" customFormat="1"/>
    <row r="3204" s="34" customFormat="1"/>
    <row r="3205" s="34" customFormat="1"/>
    <row r="3206" s="34" customFormat="1"/>
    <row r="3207" s="34" customFormat="1"/>
    <row r="3208" s="34" customFormat="1"/>
    <row r="3209" s="34" customFormat="1"/>
    <row r="3210" s="34" customFormat="1"/>
    <row r="3211" s="34" customFormat="1"/>
    <row r="3212" s="34" customFormat="1"/>
    <row r="3213" s="34" customFormat="1"/>
    <row r="3214" s="34" customFormat="1"/>
    <row r="3215" s="34" customFormat="1"/>
    <row r="3216" s="34" customFormat="1"/>
    <row r="3217" s="34" customFormat="1"/>
    <row r="3218" s="34" customFormat="1"/>
    <row r="3219" s="34" customFormat="1"/>
    <row r="3220" s="34" customFormat="1"/>
    <row r="3221" s="34" customFormat="1"/>
    <row r="3222" s="34" customFormat="1"/>
    <row r="3223" s="34" customFormat="1"/>
    <row r="3224" s="34" customFormat="1"/>
    <row r="3225" s="34" customFormat="1"/>
    <row r="3226" s="34" customFormat="1"/>
    <row r="3227" s="34" customFormat="1"/>
    <row r="3228" s="34" customFormat="1"/>
    <row r="3229" s="34" customFormat="1"/>
    <row r="3230" s="34" customFormat="1"/>
    <row r="3231" s="34" customFormat="1"/>
    <row r="3232" s="34" customFormat="1"/>
    <row r="3233" s="34" customFormat="1"/>
    <row r="3234" s="34" customFormat="1"/>
    <row r="3235" s="34" customFormat="1"/>
    <row r="3236" s="34" customFormat="1"/>
    <row r="3237" s="34" customFormat="1"/>
    <row r="3238" s="34" customFormat="1"/>
    <row r="3239" s="34" customFormat="1"/>
    <row r="3240" s="34" customFormat="1"/>
    <row r="3241" s="34" customFormat="1"/>
    <row r="3242" s="34" customFormat="1"/>
    <row r="3243" s="34" customFormat="1"/>
    <row r="3244" s="34" customFormat="1"/>
    <row r="3245" s="34" customFormat="1"/>
    <row r="3246" s="34" customFormat="1"/>
    <row r="3247" s="34" customFormat="1"/>
    <row r="3248" s="34" customFormat="1"/>
    <row r="3249" s="34" customFormat="1"/>
    <row r="3250" s="34" customFormat="1"/>
    <row r="3251" s="34" customFormat="1"/>
    <row r="3252" s="34" customFormat="1"/>
    <row r="3253" s="34" customFormat="1"/>
    <row r="3254" s="34" customFormat="1"/>
    <row r="3255" s="34" customFormat="1"/>
    <row r="3256" s="34" customFormat="1"/>
    <row r="3257" s="34" customFormat="1"/>
    <row r="3258" s="34" customFormat="1"/>
    <row r="3259" s="34" customFormat="1"/>
    <row r="3260" s="34" customFormat="1"/>
    <row r="3261" s="34" customFormat="1"/>
    <row r="3262" s="34" customFormat="1"/>
    <row r="3263" s="34" customFormat="1"/>
    <row r="3264" s="34" customFormat="1"/>
    <row r="3265" s="34" customFormat="1"/>
    <row r="3266" s="34" customFormat="1"/>
    <row r="3267" s="34" customFormat="1"/>
    <row r="3268" s="34" customFormat="1"/>
    <row r="3269" s="34" customFormat="1"/>
    <row r="3270" s="34" customFormat="1"/>
    <row r="3271" s="34" customFormat="1"/>
    <row r="3272" s="34" customFormat="1"/>
    <row r="3273" s="34" customFormat="1"/>
    <row r="3274" s="34" customFormat="1"/>
    <row r="3275" s="34" customFormat="1"/>
    <row r="3276" s="34" customFormat="1"/>
    <row r="3277" s="34" customFormat="1"/>
    <row r="3278" s="34" customFormat="1"/>
    <row r="3279" s="34" customFormat="1"/>
    <row r="3280" s="34" customFormat="1"/>
    <row r="3281" s="34" customFormat="1"/>
    <row r="3282" s="34" customFormat="1"/>
    <row r="3283" s="34" customFormat="1"/>
    <row r="3284" s="34" customFormat="1"/>
    <row r="3285" s="34" customFormat="1"/>
    <row r="3286" s="34" customFormat="1"/>
    <row r="3287" s="34" customFormat="1"/>
    <row r="3288" s="34" customFormat="1"/>
    <row r="3289" s="34" customFormat="1"/>
    <row r="3290" s="34" customFormat="1"/>
    <row r="3291" s="34" customFormat="1"/>
    <row r="3292" s="34" customFormat="1"/>
    <row r="3293" s="34" customFormat="1"/>
    <row r="3294" s="34" customFormat="1"/>
    <row r="3295" s="34" customFormat="1"/>
    <row r="3296" s="34" customFormat="1"/>
    <row r="3297" s="34" customFormat="1"/>
    <row r="3298" s="34" customFormat="1"/>
    <row r="3299" s="34" customFormat="1"/>
    <row r="3300" s="34" customFormat="1"/>
    <row r="3301" s="34" customFormat="1"/>
    <row r="3302" s="34" customFormat="1"/>
    <row r="3303" s="34" customFormat="1"/>
    <row r="3304" s="34" customFormat="1"/>
    <row r="3305" s="34" customFormat="1"/>
    <row r="3306" s="34" customFormat="1"/>
    <row r="3307" s="34" customFormat="1"/>
    <row r="3308" s="34" customFormat="1"/>
    <row r="3309" s="34" customFormat="1"/>
    <row r="3310" s="34" customFormat="1"/>
    <row r="3311" s="34" customFormat="1"/>
    <row r="3312" s="34" customFormat="1"/>
    <row r="3313" s="34" customFormat="1"/>
    <row r="3314" s="34" customFormat="1"/>
    <row r="3315" s="34" customFormat="1"/>
    <row r="3316" s="34" customFormat="1"/>
    <row r="3317" s="34" customFormat="1"/>
    <row r="3318" s="34" customFormat="1"/>
    <row r="3319" s="34" customFormat="1"/>
    <row r="3320" s="34" customFormat="1"/>
    <row r="3321" s="34" customFormat="1"/>
    <row r="3322" s="34" customFormat="1"/>
    <row r="3323" s="34" customFormat="1"/>
    <row r="3324" s="34" customFormat="1"/>
    <row r="3325" s="34" customFormat="1"/>
    <row r="3326" s="34" customFormat="1"/>
    <row r="3327" s="34" customFormat="1"/>
    <row r="3328" s="34" customFormat="1"/>
    <row r="3329" s="34" customFormat="1"/>
    <row r="3330" s="34" customFormat="1"/>
    <row r="3331" s="34" customFormat="1"/>
    <row r="3332" s="34" customFormat="1"/>
    <row r="3333" s="34" customFormat="1"/>
    <row r="3334" s="34" customFormat="1"/>
    <row r="3335" s="34" customFormat="1"/>
    <row r="3336" s="34" customFormat="1"/>
    <row r="3337" s="34" customFormat="1"/>
    <row r="3338" s="34" customFormat="1"/>
    <row r="3339" s="34" customFormat="1"/>
    <row r="3340" s="34" customFormat="1"/>
    <row r="3341" s="34" customFormat="1"/>
    <row r="3342" s="34" customFormat="1"/>
    <row r="3343" s="34" customFormat="1"/>
    <row r="3344" s="34" customFormat="1"/>
    <row r="3345" s="34" customFormat="1"/>
    <row r="3346" s="34" customFormat="1"/>
    <row r="3347" s="34" customFormat="1"/>
    <row r="3348" s="34" customFormat="1"/>
    <row r="3349" s="34" customFormat="1"/>
    <row r="3350" s="34" customFormat="1"/>
    <row r="3351" s="34" customFormat="1"/>
    <row r="3352" s="34" customFormat="1"/>
    <row r="3353" s="34" customFormat="1"/>
    <row r="3354" s="34" customFormat="1"/>
    <row r="3355" s="34" customFormat="1"/>
    <row r="3356" s="34" customFormat="1"/>
    <row r="3357" s="34" customFormat="1"/>
    <row r="3358" s="34" customFormat="1"/>
    <row r="3359" s="34" customFormat="1"/>
    <row r="3360" s="34" customFormat="1"/>
    <row r="3361" s="34" customFormat="1"/>
    <row r="3362" s="34" customFormat="1"/>
    <row r="3363" s="34" customFormat="1"/>
    <row r="3364" s="34" customFormat="1"/>
    <row r="3365" s="34" customFormat="1"/>
    <row r="3366" s="34" customFormat="1"/>
    <row r="3367" s="34" customFormat="1"/>
    <row r="3368" s="34" customFormat="1"/>
    <row r="3369" s="34" customFormat="1"/>
    <row r="3370" s="34" customFormat="1"/>
    <row r="3371" s="34" customFormat="1"/>
    <row r="3372" s="34" customFormat="1"/>
    <row r="3373" s="34" customFormat="1"/>
    <row r="3374" s="34" customFormat="1"/>
    <row r="3375" s="34" customFormat="1"/>
    <row r="3376" s="34" customFormat="1"/>
    <row r="3377" s="34" customFormat="1"/>
    <row r="3378" s="34" customFormat="1"/>
    <row r="3379" s="34" customFormat="1"/>
    <row r="3380" s="34" customFormat="1"/>
    <row r="3381" s="34" customFormat="1"/>
    <row r="3382" s="34" customFormat="1"/>
    <row r="3383" s="34" customFormat="1"/>
    <row r="3384" s="34" customFormat="1"/>
    <row r="3385" s="34" customFormat="1"/>
    <row r="3386" s="34" customFormat="1"/>
    <row r="3387" s="34" customFormat="1"/>
    <row r="3388" s="34" customFormat="1"/>
    <row r="3389" s="34" customFormat="1"/>
    <row r="3390" s="34" customFormat="1"/>
    <row r="3391" s="34" customFormat="1"/>
    <row r="3392" s="34" customFormat="1"/>
    <row r="3393" s="34" customFormat="1"/>
    <row r="3394" s="34" customFormat="1"/>
    <row r="3395" s="34" customFormat="1"/>
    <row r="3396" s="34" customFormat="1"/>
    <row r="3397" s="34" customFormat="1"/>
    <row r="3398" s="34" customFormat="1"/>
    <row r="3399" s="34" customFormat="1"/>
    <row r="3400" s="34" customFormat="1"/>
    <row r="3401" s="34" customFormat="1"/>
    <row r="3402" s="34" customFormat="1"/>
    <row r="3403" s="34" customFormat="1"/>
    <row r="3404" s="34" customFormat="1"/>
    <row r="3405" s="34" customFormat="1"/>
    <row r="3406" s="34" customFormat="1"/>
    <row r="3407" s="34" customFormat="1"/>
    <row r="3408" s="34" customFormat="1"/>
    <row r="3409" s="34" customFormat="1"/>
    <row r="3410" s="34" customFormat="1"/>
    <row r="3411" s="34" customFormat="1"/>
    <row r="3412" s="34" customFormat="1"/>
    <row r="3413" s="34" customFormat="1"/>
    <row r="3414" s="34" customFormat="1"/>
    <row r="3415" s="34" customFormat="1"/>
    <row r="3416" s="34" customFormat="1"/>
    <row r="3417" s="34" customFormat="1"/>
    <row r="3418" s="34" customFormat="1"/>
    <row r="3419" s="34" customFormat="1"/>
    <row r="3420" s="34" customFormat="1"/>
    <row r="3421" s="34" customFormat="1"/>
    <row r="3422" s="34" customFormat="1"/>
    <row r="3423" s="34" customFormat="1"/>
    <row r="3424" s="34" customFormat="1"/>
    <row r="3425" s="34" customFormat="1"/>
    <row r="3426" s="34" customFormat="1"/>
    <row r="3427" s="34" customFormat="1"/>
    <row r="3428" s="34" customFormat="1"/>
    <row r="3429" s="34" customFormat="1"/>
    <row r="3430" s="34" customFormat="1"/>
    <row r="3431" s="34" customFormat="1"/>
    <row r="3432" s="34" customFormat="1"/>
    <row r="3433" s="34" customFormat="1"/>
    <row r="3434" s="34" customFormat="1"/>
    <row r="3435" s="34" customFormat="1"/>
    <row r="3436" s="34" customFormat="1"/>
    <row r="3437" s="34" customFormat="1"/>
    <row r="3438" s="34" customFormat="1"/>
    <row r="3439" s="34" customFormat="1"/>
    <row r="3440" s="34" customFormat="1"/>
    <row r="3441" s="34" customFormat="1"/>
    <row r="3442" s="34" customFormat="1"/>
    <row r="3443" s="34" customFormat="1"/>
    <row r="3444" s="34" customFormat="1"/>
    <row r="3445" s="34" customFormat="1"/>
    <row r="3446" s="34" customFormat="1"/>
    <row r="3447" s="34" customFormat="1"/>
    <row r="3448" s="34" customFormat="1"/>
    <row r="3449" s="34" customFormat="1"/>
    <row r="3450" s="34" customFormat="1"/>
    <row r="3451" s="34" customFormat="1"/>
    <row r="3452" s="34" customFormat="1"/>
    <row r="3453" s="34" customFormat="1"/>
    <row r="3454" s="34" customFormat="1"/>
    <row r="3455" s="34" customFormat="1"/>
    <row r="3456" s="34" customFormat="1"/>
    <row r="3457" s="34" customFormat="1"/>
    <row r="3458" s="34" customFormat="1"/>
    <row r="3459" s="34" customFormat="1"/>
    <row r="3460" s="34" customFormat="1"/>
    <row r="3461" s="34" customFormat="1"/>
    <row r="3462" s="34" customFormat="1"/>
    <row r="3463" s="34" customFormat="1"/>
    <row r="3464" s="34" customFormat="1"/>
    <row r="3465" s="34" customFormat="1"/>
    <row r="3466" s="34" customFormat="1"/>
    <row r="3467" s="34" customFormat="1"/>
    <row r="3468" s="34" customFormat="1"/>
    <row r="3469" s="34" customFormat="1"/>
    <row r="3470" s="34" customFormat="1"/>
    <row r="3471" s="34" customFormat="1"/>
    <row r="3472" s="34" customFormat="1"/>
    <row r="3473" s="34" customFormat="1"/>
    <row r="3474" s="34" customFormat="1"/>
    <row r="3475" s="34" customFormat="1"/>
    <row r="3476" s="34" customFormat="1"/>
    <row r="3477" s="34" customFormat="1"/>
    <row r="3478" s="34" customFormat="1"/>
    <row r="3479" s="34" customFormat="1"/>
    <row r="3480" s="34" customFormat="1"/>
    <row r="3481" s="34" customFormat="1"/>
    <row r="3482" s="34" customFormat="1"/>
    <row r="3483" s="34" customFormat="1"/>
    <row r="3484" s="34" customFormat="1"/>
    <row r="3485" s="34" customFormat="1"/>
    <row r="3486" s="34" customFormat="1"/>
    <row r="3487" s="34" customFormat="1"/>
    <row r="3488" s="34" customFormat="1"/>
    <row r="3489" s="34" customFormat="1"/>
    <row r="3490" s="34" customFormat="1"/>
    <row r="3491" s="34" customFormat="1"/>
    <row r="3492" s="34" customFormat="1"/>
    <row r="3493" s="34" customFormat="1"/>
    <row r="3494" s="34" customFormat="1"/>
    <row r="3495" s="34" customFormat="1"/>
    <row r="3496" s="34" customFormat="1"/>
    <row r="3497" s="34" customFormat="1"/>
    <row r="3498" s="34" customFormat="1"/>
    <row r="3499" s="34" customFormat="1"/>
    <row r="3500" s="34" customFormat="1"/>
    <row r="3501" s="34" customFormat="1"/>
    <row r="3502" s="34" customFormat="1"/>
    <row r="3503" s="34" customFormat="1"/>
    <row r="3504" s="34" customFormat="1"/>
    <row r="3505" s="34" customFormat="1"/>
    <row r="3506" s="34" customFormat="1"/>
    <row r="3507" s="34" customFormat="1"/>
    <row r="3508" s="34" customFormat="1"/>
    <row r="3509" s="34" customFormat="1"/>
    <row r="3510" s="34" customFormat="1"/>
    <row r="3511" s="34" customFormat="1"/>
    <row r="3512" s="34" customFormat="1"/>
    <row r="3513" s="34" customFormat="1"/>
    <row r="3514" s="34" customFormat="1"/>
    <row r="3515" s="34" customFormat="1"/>
    <row r="3516" s="34" customFormat="1"/>
    <row r="3517" s="34" customFormat="1"/>
    <row r="3518" s="34" customFormat="1"/>
    <row r="3519" s="34" customFormat="1"/>
    <row r="3520" s="34" customFormat="1"/>
    <row r="3521" s="34" customFormat="1"/>
    <row r="3522" s="34" customFormat="1"/>
    <row r="3523" s="34" customFormat="1"/>
    <row r="3524" s="34" customFormat="1"/>
    <row r="3525" s="34" customFormat="1"/>
    <row r="3526" s="34" customFormat="1"/>
    <row r="3527" s="34" customFormat="1"/>
    <row r="3528" s="34" customFormat="1"/>
    <row r="3529" s="34" customFormat="1"/>
    <row r="3530" s="34" customFormat="1"/>
    <row r="3531" s="34" customFormat="1"/>
    <row r="3532" s="34" customFormat="1"/>
    <row r="3533" s="34" customFormat="1"/>
    <row r="3534" s="34" customFormat="1"/>
    <row r="3535" s="34" customFormat="1"/>
    <row r="3536" s="34" customFormat="1"/>
    <row r="3537" s="34" customFormat="1"/>
    <row r="3538" s="34" customFormat="1"/>
    <row r="3539" s="34" customFormat="1"/>
    <row r="3540" s="34" customFormat="1"/>
    <row r="3541" s="34" customFormat="1"/>
    <row r="3542" s="34" customFormat="1"/>
    <row r="3543" s="34" customFormat="1"/>
    <row r="3544" s="34" customFormat="1"/>
    <row r="3545" s="34" customFormat="1"/>
    <row r="3546" s="34" customFormat="1"/>
    <row r="3547" s="34" customFormat="1"/>
    <row r="3548" s="34" customFormat="1"/>
    <row r="3549" s="34" customFormat="1"/>
    <row r="3550" s="34" customFormat="1"/>
    <row r="3551" s="34" customFormat="1"/>
    <row r="3552" s="34" customFormat="1"/>
    <row r="3553" s="34" customFormat="1"/>
    <row r="3554" s="34" customFormat="1"/>
    <row r="3555" s="34" customFormat="1"/>
    <row r="3556" s="34" customFormat="1"/>
    <row r="3557" s="34" customFormat="1"/>
    <row r="3558" s="34" customFormat="1"/>
    <row r="3559" s="34" customFormat="1"/>
    <row r="3560" s="34" customFormat="1"/>
    <row r="3561" s="34" customFormat="1"/>
    <row r="3562" s="34" customFormat="1"/>
    <row r="3563" s="34" customFormat="1"/>
    <row r="3564" s="34" customFormat="1"/>
    <row r="3565" s="34" customFormat="1"/>
    <row r="3566" s="34" customFormat="1"/>
    <row r="3567" s="34" customFormat="1"/>
    <row r="3568" s="34" customFormat="1"/>
    <row r="3569" s="34" customFormat="1"/>
    <row r="3570" s="34" customFormat="1"/>
    <row r="3571" s="34" customFormat="1"/>
    <row r="3572" s="34" customFormat="1"/>
    <row r="3573" s="34" customFormat="1"/>
    <row r="3574" s="34" customFormat="1"/>
    <row r="3575" s="34" customFormat="1"/>
    <row r="3576" s="34" customFormat="1"/>
    <row r="3577" s="34" customFormat="1"/>
    <row r="3578" s="34" customFormat="1"/>
    <row r="3579" s="34" customFormat="1"/>
    <row r="3580" s="34" customFormat="1"/>
    <row r="3581" s="34" customFormat="1"/>
    <row r="3582" s="34" customFormat="1"/>
    <row r="3583" s="34" customFormat="1"/>
    <row r="3584" s="34" customFormat="1"/>
    <row r="3585" s="34" customFormat="1"/>
    <row r="3586" s="34" customFormat="1"/>
    <row r="3587" s="34" customFormat="1"/>
    <row r="3588" s="34" customFormat="1"/>
    <row r="3589" s="34" customFormat="1"/>
    <row r="3590" s="34" customFormat="1"/>
    <row r="3591" s="34" customFormat="1"/>
    <row r="3592" s="34" customFormat="1"/>
    <row r="3593" s="34" customFormat="1"/>
    <row r="3594" s="34" customFormat="1"/>
    <row r="3595" s="34" customFormat="1"/>
    <row r="3596" s="34" customFormat="1"/>
    <row r="3597" s="34" customFormat="1"/>
    <row r="3598" s="34" customFormat="1"/>
    <row r="3599" s="34" customFormat="1"/>
    <row r="3600" s="34" customFormat="1"/>
    <row r="3601" s="34" customFormat="1"/>
    <row r="3602" s="34" customFormat="1"/>
    <row r="3603" s="34" customFormat="1"/>
    <row r="3604" s="34" customFormat="1"/>
    <row r="3605" s="34" customFormat="1"/>
    <row r="3606" s="34" customFormat="1"/>
    <row r="3607" s="34" customFormat="1"/>
    <row r="3608" s="34" customFormat="1"/>
    <row r="3609" s="34" customFormat="1"/>
    <row r="3610" s="34" customFormat="1"/>
    <row r="3611" s="34" customFormat="1"/>
    <row r="3612" s="34" customFormat="1"/>
    <row r="3613" s="34" customFormat="1"/>
    <row r="3614" s="34" customFormat="1"/>
    <row r="3615" s="34" customFormat="1"/>
    <row r="3616" s="34" customFormat="1"/>
    <row r="3617" s="34" customFormat="1"/>
    <row r="3618" s="34" customFormat="1"/>
    <row r="3619" s="34" customFormat="1"/>
    <row r="3620" s="34" customFormat="1"/>
    <row r="3621" s="34" customFormat="1"/>
    <row r="3622" s="34" customFormat="1"/>
    <row r="3623" s="34" customFormat="1"/>
    <row r="3624" s="34" customFormat="1"/>
    <row r="3625" s="34" customFormat="1"/>
    <row r="3626" s="34" customFormat="1"/>
    <row r="3627" s="34" customFormat="1"/>
    <row r="3628" s="34" customFormat="1"/>
    <row r="3629" s="34" customFormat="1"/>
    <row r="3630" s="34" customFormat="1"/>
    <row r="3631" s="34" customFormat="1"/>
    <row r="3632" s="34" customFormat="1"/>
    <row r="3633" s="34" customFormat="1"/>
    <row r="3634" s="34" customFormat="1"/>
    <row r="3635" s="34" customFormat="1"/>
    <row r="3636" s="34" customFormat="1"/>
    <row r="3637" s="34" customFormat="1"/>
    <row r="3638" s="34" customFormat="1"/>
    <row r="3639" s="34" customFormat="1"/>
    <row r="3640" s="34" customFormat="1"/>
    <row r="3641" s="34" customFormat="1"/>
    <row r="3642" s="34" customFormat="1"/>
    <row r="3643" s="34" customFormat="1"/>
    <row r="3644" s="34" customFormat="1"/>
    <row r="3645" s="34" customFormat="1"/>
    <row r="3646" s="34" customFormat="1"/>
    <row r="3647" s="34" customFormat="1"/>
    <row r="3648" s="34" customFormat="1"/>
    <row r="3649" s="34" customFormat="1"/>
    <row r="3650" s="34" customFormat="1"/>
    <row r="3651" s="34" customFormat="1"/>
    <row r="3652" s="34" customFormat="1"/>
    <row r="3653" s="34" customFormat="1"/>
    <row r="3654" s="34" customFormat="1"/>
    <row r="3655" s="34" customFormat="1"/>
    <row r="3656" s="34" customFormat="1"/>
    <row r="3657" s="34" customFormat="1"/>
    <row r="3658" s="34" customFormat="1"/>
    <row r="3659" s="34" customFormat="1"/>
    <row r="3660" s="34" customFormat="1"/>
    <row r="3661" s="34" customFormat="1"/>
    <row r="3662" s="34" customFormat="1"/>
    <row r="3663" s="34" customFormat="1"/>
    <row r="3664" s="34" customFormat="1"/>
    <row r="3665" s="34" customFormat="1"/>
    <row r="3666" s="34" customFormat="1"/>
    <row r="3667" s="34" customFormat="1"/>
    <row r="3668" s="34" customFormat="1"/>
    <row r="3669" s="34" customFormat="1"/>
    <row r="3670" s="34" customFormat="1"/>
    <row r="3671" s="34" customFormat="1"/>
    <row r="3672" s="34" customFormat="1"/>
    <row r="3673" s="34" customFormat="1"/>
    <row r="3674" s="34" customFormat="1"/>
    <row r="3675" s="34" customFormat="1"/>
    <row r="3676" s="34" customFormat="1"/>
    <row r="3677" s="34" customFormat="1"/>
    <row r="3678" s="34" customFormat="1"/>
    <row r="3679" s="34" customFormat="1"/>
    <row r="3680" s="34" customFormat="1"/>
    <row r="3681" s="34" customFormat="1"/>
    <row r="3682" s="34" customFormat="1"/>
    <row r="3683" s="34" customFormat="1"/>
    <row r="3684" s="34" customFormat="1"/>
    <row r="3685" s="34" customFormat="1"/>
    <row r="3686" s="34" customFormat="1"/>
    <row r="3687" s="34" customFormat="1"/>
    <row r="3688" s="34" customFormat="1"/>
    <row r="3689" s="34" customFormat="1"/>
    <row r="3690" s="34" customFormat="1"/>
    <row r="3691" s="34" customFormat="1"/>
    <row r="3692" s="34" customFormat="1"/>
    <row r="3693" s="34" customFormat="1"/>
    <row r="3694" s="34" customFormat="1"/>
    <row r="3695" s="34" customFormat="1"/>
    <row r="3696" s="34" customFormat="1"/>
    <row r="3697" s="34" customFormat="1"/>
    <row r="3698" s="34" customFormat="1"/>
    <row r="3699" s="34" customFormat="1"/>
    <row r="3700" s="34" customFormat="1"/>
    <row r="3701" s="34" customFormat="1"/>
    <row r="3702" s="34" customFormat="1"/>
    <row r="3703" s="34" customFormat="1"/>
    <row r="3704" s="34" customFormat="1"/>
    <row r="3705" s="34" customFormat="1"/>
    <row r="3706" s="34" customFormat="1"/>
    <row r="3707" s="34" customFormat="1"/>
    <row r="3708" s="34" customFormat="1"/>
    <row r="3709" s="34" customFormat="1"/>
    <row r="3710" s="34" customFormat="1"/>
    <row r="3711" s="34" customFormat="1"/>
    <row r="3712" s="34" customFormat="1"/>
    <row r="3713" s="34" customFormat="1"/>
    <row r="3714" s="34" customFormat="1"/>
    <row r="3715" s="34" customFormat="1"/>
    <row r="3716" s="34" customFormat="1"/>
    <row r="3717" s="34" customFormat="1"/>
    <row r="3718" s="34" customFormat="1"/>
    <row r="3719" s="34" customFormat="1"/>
    <row r="3720" s="34" customFormat="1"/>
    <row r="3721" s="34" customFormat="1"/>
    <row r="3722" s="34" customFormat="1"/>
    <row r="3723" s="34" customFormat="1"/>
    <row r="3724" s="34" customFormat="1"/>
    <row r="3725" s="34" customFormat="1"/>
    <row r="3726" s="34" customFormat="1"/>
    <row r="3727" s="34" customFormat="1"/>
    <row r="3728" s="34" customFormat="1"/>
    <row r="3729" s="34" customFormat="1"/>
    <row r="3730" s="34" customFormat="1"/>
    <row r="3731" s="34" customFormat="1"/>
    <row r="3732" s="34" customFormat="1"/>
    <row r="3733" s="34" customFormat="1"/>
    <row r="3734" s="34" customFormat="1"/>
    <row r="3735" s="34" customFormat="1"/>
    <row r="3736" s="34" customFormat="1"/>
    <row r="3737" s="34" customFormat="1"/>
    <row r="3738" s="34" customFormat="1"/>
    <row r="3739" s="34" customFormat="1"/>
    <row r="3740" s="34" customFormat="1"/>
    <row r="3741" s="34" customFormat="1"/>
    <row r="3742" s="34" customFormat="1"/>
    <row r="3743" s="34" customFormat="1"/>
    <row r="3744" s="34" customFormat="1"/>
    <row r="3745" s="34" customFormat="1"/>
    <row r="3746" s="34" customFormat="1"/>
    <row r="3747" s="34" customFormat="1"/>
    <row r="3748" s="34" customFormat="1"/>
    <row r="3749" s="34" customFormat="1"/>
    <row r="3750" s="34" customFormat="1"/>
    <row r="3751" s="34" customFormat="1"/>
    <row r="3752" s="34" customFormat="1"/>
    <row r="3753" s="34" customFormat="1"/>
    <row r="3754" s="34" customFormat="1"/>
    <row r="3755" s="34" customFormat="1"/>
    <row r="3756" s="34" customFormat="1"/>
    <row r="3757" s="34" customFormat="1"/>
    <row r="3758" s="34" customFormat="1"/>
    <row r="3759" s="34" customFormat="1"/>
    <row r="3760" s="34" customFormat="1"/>
    <row r="3761" s="34" customFormat="1"/>
    <row r="3762" s="34" customFormat="1"/>
    <row r="3763" s="34" customFormat="1"/>
    <row r="3764" s="34" customFormat="1"/>
    <row r="3765" s="34" customFormat="1"/>
    <row r="3766" s="34" customFormat="1"/>
    <row r="3767" s="34" customFormat="1"/>
    <row r="3768" s="34" customFormat="1"/>
    <row r="3769" s="34" customFormat="1"/>
    <row r="3770" s="34" customFormat="1"/>
    <row r="3771" s="34" customFormat="1"/>
    <row r="3772" s="34" customFormat="1"/>
    <row r="3773" s="34" customFormat="1"/>
    <row r="3774" s="34" customFormat="1"/>
    <row r="3775" s="34" customFormat="1"/>
    <row r="3776" s="34" customFormat="1"/>
    <row r="3777" s="34" customFormat="1"/>
    <row r="3778" s="34" customFormat="1"/>
    <row r="3779" s="34" customFormat="1"/>
    <row r="3780" s="34" customFormat="1"/>
    <row r="3781" s="34" customFormat="1"/>
    <row r="3782" s="34" customFormat="1"/>
    <row r="3783" s="34" customFormat="1"/>
    <row r="3784" s="34" customFormat="1"/>
    <row r="3785" s="34" customFormat="1"/>
    <row r="3786" s="34" customFormat="1"/>
    <row r="3787" s="34" customFormat="1"/>
    <row r="3788" s="34" customFormat="1"/>
    <row r="3789" s="34" customFormat="1"/>
    <row r="3790" s="34" customFormat="1"/>
    <row r="3791" s="34" customFormat="1"/>
    <row r="3792" s="34" customFormat="1"/>
    <row r="3793" s="34" customFormat="1"/>
    <row r="3794" s="34" customFormat="1"/>
    <row r="3795" s="34" customFormat="1"/>
    <row r="3796" s="34" customFormat="1"/>
    <row r="3797" s="34" customFormat="1"/>
    <row r="3798" s="34" customFormat="1"/>
    <row r="3799" s="34" customFormat="1"/>
    <row r="3800" s="34" customFormat="1"/>
    <row r="3801" s="34" customFormat="1"/>
    <row r="3802" s="34" customFormat="1"/>
    <row r="3803" s="34" customFormat="1"/>
    <row r="3804" s="34" customFormat="1"/>
    <row r="3805" s="34" customFormat="1"/>
    <row r="3806" s="34" customFormat="1"/>
    <row r="3807" s="34" customFormat="1"/>
    <row r="3808" s="34" customFormat="1"/>
    <row r="3809" s="34" customFormat="1"/>
    <row r="3810" s="34" customFormat="1"/>
    <row r="3811" s="34" customFormat="1"/>
    <row r="3812" s="34" customFormat="1"/>
    <row r="3813" s="34" customFormat="1"/>
    <row r="3814" s="34" customFormat="1"/>
    <row r="3815" s="34" customFormat="1"/>
    <row r="3816" s="34" customFormat="1"/>
    <row r="3817" s="34" customFormat="1"/>
    <row r="3818" s="34" customFormat="1"/>
    <row r="3819" s="34" customFormat="1"/>
    <row r="3820" s="34" customFormat="1"/>
    <row r="3821" s="34" customFormat="1"/>
    <row r="3822" s="34" customFormat="1"/>
    <row r="3823" s="34" customFormat="1"/>
    <row r="3824" s="34" customFormat="1"/>
    <row r="3825" s="34" customFormat="1"/>
    <row r="3826" s="34" customFormat="1"/>
    <row r="3827" s="34" customFormat="1"/>
    <row r="3828" s="34" customFormat="1"/>
    <row r="3829" s="34" customFormat="1"/>
    <row r="3830" s="34" customFormat="1"/>
    <row r="3831" s="34" customFormat="1"/>
    <row r="3832" s="34" customFormat="1"/>
    <row r="3833" s="34" customFormat="1"/>
    <row r="3834" s="34" customFormat="1"/>
    <row r="3835" s="34" customFormat="1"/>
    <row r="3836" s="34" customFormat="1"/>
    <row r="3837" s="34" customFormat="1"/>
    <row r="3838" s="34" customFormat="1"/>
    <row r="3839" s="34" customFormat="1"/>
    <row r="3840" s="34" customFormat="1"/>
    <row r="3841" s="34" customFormat="1"/>
    <row r="3842" s="34" customFormat="1"/>
    <row r="3843" s="34" customFormat="1"/>
    <row r="3844" s="34" customFormat="1"/>
    <row r="3845" s="34" customFormat="1"/>
    <row r="3846" s="34" customFormat="1"/>
    <row r="3847" s="34" customFormat="1"/>
    <row r="3848" s="34" customFormat="1"/>
    <row r="3849" s="34" customFormat="1"/>
    <row r="3850" s="34" customFormat="1"/>
    <row r="3851" s="34" customFormat="1"/>
    <row r="3852" s="34" customFormat="1"/>
    <row r="3853" s="34" customFormat="1"/>
    <row r="3854" s="34" customFormat="1"/>
    <row r="3855" s="34" customFormat="1"/>
    <row r="3856" s="34" customFormat="1"/>
    <row r="3857" s="34" customFormat="1"/>
    <row r="3858" s="34" customFormat="1"/>
    <row r="3859" s="34" customFormat="1"/>
    <row r="3860" s="34" customFormat="1"/>
    <row r="3861" s="34" customFormat="1"/>
    <row r="3862" s="34" customFormat="1"/>
    <row r="3863" s="34" customFormat="1"/>
    <row r="3864" s="34" customFormat="1"/>
    <row r="3865" s="34" customFormat="1"/>
    <row r="3866" s="34" customFormat="1"/>
    <row r="3867" s="34" customFormat="1"/>
    <row r="3868" s="34" customFormat="1"/>
    <row r="3869" s="34" customFormat="1"/>
    <row r="3870" s="34" customFormat="1"/>
    <row r="3871" s="34" customFormat="1"/>
    <row r="3872" s="34" customFormat="1"/>
    <row r="3873" s="34" customFormat="1"/>
    <row r="3874" s="34" customFormat="1"/>
    <row r="3875" s="34" customFormat="1"/>
    <row r="3876" s="34" customFormat="1"/>
    <row r="3877" s="34" customFormat="1"/>
    <row r="3878" s="34" customFormat="1"/>
    <row r="3879" s="34" customFormat="1"/>
    <row r="3880" s="34" customFormat="1"/>
    <row r="3881" s="34" customFormat="1"/>
    <row r="3882" s="34" customFormat="1"/>
    <row r="3883" s="34" customFormat="1"/>
    <row r="3884" s="34" customFormat="1"/>
    <row r="3885" s="34" customFormat="1"/>
    <row r="3886" s="34" customFormat="1"/>
    <row r="3887" s="34" customFormat="1"/>
    <row r="3888" s="34" customFormat="1"/>
    <row r="3889" s="34" customFormat="1"/>
    <row r="3890" s="34" customFormat="1"/>
    <row r="3891" s="34" customFormat="1"/>
    <row r="3892" s="34" customFormat="1"/>
    <row r="3893" s="34" customFormat="1"/>
    <row r="3894" s="34" customFormat="1"/>
    <row r="3895" s="34" customFormat="1"/>
    <row r="3896" s="34" customFormat="1"/>
    <row r="3897" s="34" customFormat="1"/>
    <row r="3898" s="34" customFormat="1"/>
    <row r="3899" s="34" customFormat="1"/>
    <row r="3900" s="34" customFormat="1"/>
    <row r="3901" s="34" customFormat="1"/>
    <row r="3902" s="34" customFormat="1"/>
    <row r="3903" s="34" customFormat="1"/>
    <row r="3904" s="34" customFormat="1"/>
    <row r="3905" s="34" customFormat="1"/>
    <row r="3906" s="34" customFormat="1"/>
    <row r="3907" s="34" customFormat="1"/>
    <row r="3908" s="34" customFormat="1"/>
    <row r="3909" s="34" customFormat="1"/>
    <row r="3910" s="34" customFormat="1"/>
    <row r="3911" s="34" customFormat="1"/>
    <row r="3912" s="34" customFormat="1"/>
    <row r="3913" s="34" customFormat="1"/>
    <row r="3914" s="34" customFormat="1"/>
    <row r="3915" s="34" customFormat="1"/>
    <row r="3916" s="34" customFormat="1"/>
    <row r="3917" s="34" customFormat="1"/>
    <row r="3918" s="34" customFormat="1"/>
    <row r="3919" s="34" customFormat="1"/>
    <row r="3920" s="34" customFormat="1"/>
    <row r="3921" s="34" customFormat="1"/>
    <row r="3922" s="34" customFormat="1"/>
    <row r="3923" s="34" customFormat="1"/>
    <row r="3924" s="34" customFormat="1"/>
    <row r="3925" s="34" customFormat="1"/>
    <row r="3926" s="34" customFormat="1"/>
    <row r="3927" s="34" customFormat="1"/>
    <row r="3928" s="34" customFormat="1"/>
    <row r="3929" s="34" customFormat="1"/>
    <row r="3930" s="34" customFormat="1"/>
    <row r="3931" s="34" customFormat="1"/>
    <row r="3932" s="34" customFormat="1"/>
    <row r="3933" s="34" customFormat="1"/>
    <row r="3934" s="34" customFormat="1"/>
    <row r="3935" s="34" customFormat="1"/>
    <row r="3936" s="34" customFormat="1"/>
    <row r="3937" s="34" customFormat="1"/>
    <row r="3938" s="34" customFormat="1"/>
    <row r="3939" s="34" customFormat="1"/>
    <row r="3940" s="34" customFormat="1"/>
    <row r="3941" s="34" customFormat="1"/>
    <row r="3942" s="34" customFormat="1"/>
    <row r="3943" s="34" customFormat="1"/>
    <row r="3944" s="34" customFormat="1"/>
    <row r="3945" s="34" customFormat="1"/>
    <row r="3946" s="34" customFormat="1"/>
    <row r="3947" s="34" customFormat="1"/>
    <row r="3948" s="34" customFormat="1"/>
    <row r="3949" s="34" customFormat="1"/>
    <row r="3950" s="34" customFormat="1"/>
    <row r="3951" s="34" customFormat="1"/>
    <row r="3952" s="34" customFormat="1"/>
    <row r="3953" s="34" customFormat="1"/>
    <row r="3954" s="34" customFormat="1"/>
    <row r="3955" s="34" customFormat="1"/>
    <row r="3956" s="34" customFormat="1"/>
    <row r="3957" s="34" customFormat="1"/>
    <row r="3958" s="34" customFormat="1"/>
    <row r="3959" s="34" customFormat="1"/>
    <row r="3960" s="34" customFormat="1"/>
    <row r="3961" s="34" customFormat="1"/>
    <row r="3962" s="34" customFormat="1"/>
    <row r="3963" s="34" customFormat="1"/>
    <row r="3964" s="34" customFormat="1"/>
    <row r="3965" s="34" customFormat="1"/>
    <row r="3966" s="34" customFormat="1"/>
    <row r="3967" s="34" customFormat="1"/>
    <row r="3968" s="34" customFormat="1"/>
    <row r="3969" s="34" customFormat="1"/>
    <row r="3970" s="34" customFormat="1"/>
    <row r="3971" s="34" customFormat="1"/>
    <row r="3972" s="34" customFormat="1"/>
    <row r="3973" s="34" customFormat="1"/>
    <row r="3974" s="34" customFormat="1"/>
    <row r="3975" s="34" customFormat="1"/>
    <row r="3976" s="34" customFormat="1"/>
    <row r="3977" s="34" customFormat="1"/>
    <row r="3978" s="34" customFormat="1"/>
    <row r="3979" s="34" customFormat="1"/>
    <row r="3980" s="34" customFormat="1"/>
    <row r="3981" s="34" customFormat="1"/>
    <row r="3982" s="34" customFormat="1"/>
    <row r="3983" s="34" customFormat="1"/>
    <row r="3984" s="34" customFormat="1"/>
    <row r="3985" s="34" customFormat="1"/>
    <row r="3986" s="34" customFormat="1"/>
    <row r="3987" s="34" customFormat="1"/>
    <row r="3988" s="34" customFormat="1"/>
    <row r="3989" s="34" customFormat="1"/>
    <row r="3990" s="34" customFormat="1"/>
    <row r="3991" s="34" customFormat="1"/>
    <row r="3992" s="34" customFormat="1"/>
    <row r="3993" s="34" customFormat="1"/>
    <row r="3994" s="34" customFormat="1"/>
    <row r="3995" s="34" customFormat="1"/>
    <row r="3996" s="34" customFormat="1"/>
    <row r="3997" s="34" customFormat="1"/>
    <row r="3998" s="34" customFormat="1"/>
    <row r="3999" s="34" customFormat="1"/>
    <row r="4000" s="34" customFormat="1"/>
    <row r="4001" s="34" customFormat="1"/>
    <row r="4002" s="34" customFormat="1"/>
    <row r="4003" s="34" customFormat="1"/>
    <row r="4004" s="34" customFormat="1"/>
    <row r="4005" s="34" customFormat="1"/>
    <row r="4006" s="34" customFormat="1"/>
    <row r="4007" s="34" customFormat="1"/>
    <row r="4008" s="34" customFormat="1"/>
    <row r="4009" s="34" customFormat="1"/>
    <row r="4010" s="34" customFormat="1"/>
    <row r="4011" s="34" customFormat="1"/>
    <row r="4012" s="34" customFormat="1"/>
    <row r="4013" s="34" customFormat="1"/>
    <row r="4014" s="34" customFormat="1"/>
    <row r="4015" s="34" customFormat="1"/>
    <row r="4016" s="34" customFormat="1"/>
    <row r="4017" s="34" customFormat="1"/>
    <row r="4018" s="34" customFormat="1"/>
    <row r="4019" s="34" customFormat="1"/>
    <row r="4020" s="34" customFormat="1"/>
    <row r="4021" s="34" customFormat="1"/>
    <row r="4022" s="34" customFormat="1"/>
    <row r="4023" s="34" customFormat="1"/>
    <row r="4024" s="34" customFormat="1"/>
    <row r="4025" s="34" customFormat="1"/>
    <row r="4026" s="34" customFormat="1"/>
    <row r="4027" s="34" customFormat="1"/>
    <row r="4028" s="34" customFormat="1"/>
    <row r="4029" s="34" customFormat="1"/>
    <row r="4030" s="34" customFormat="1"/>
    <row r="4031" s="34" customFormat="1"/>
    <row r="4032" s="34" customFormat="1"/>
    <row r="4033" s="34" customFormat="1"/>
    <row r="4034" s="34" customFormat="1"/>
    <row r="4035" s="34" customFormat="1"/>
    <row r="4036" s="34" customFormat="1"/>
    <row r="4037" s="34" customFormat="1"/>
    <row r="4038" s="34" customFormat="1"/>
    <row r="4039" s="34" customFormat="1"/>
    <row r="4040" s="34" customFormat="1"/>
    <row r="4041" s="34" customFormat="1"/>
    <row r="4042" s="34" customFormat="1"/>
    <row r="4043" s="34" customFormat="1"/>
    <row r="4044" s="34" customFormat="1"/>
    <row r="4045" s="34" customFormat="1"/>
    <row r="4046" s="34" customFormat="1"/>
    <row r="4047" s="34" customFormat="1"/>
    <row r="4048" s="34" customFormat="1"/>
    <row r="4049" s="34" customFormat="1"/>
    <row r="4050" s="34" customFormat="1"/>
    <row r="4051" s="34" customFormat="1"/>
    <row r="4052" s="34" customFormat="1"/>
    <row r="4053" s="34" customFormat="1"/>
    <row r="4054" s="34" customFormat="1"/>
    <row r="4055" s="34" customFormat="1"/>
    <row r="4056" s="34" customFormat="1"/>
    <row r="4057" s="34" customFormat="1"/>
    <row r="4058" s="34" customFormat="1"/>
    <row r="4059" s="34" customFormat="1"/>
    <row r="4060" s="34" customFormat="1"/>
    <row r="4061" s="34" customFormat="1"/>
    <row r="4062" s="34" customFormat="1"/>
    <row r="4063" s="34" customFormat="1"/>
    <row r="4064" s="34" customFormat="1"/>
    <row r="4065" s="34" customFormat="1"/>
    <row r="4066" s="34" customFormat="1"/>
    <row r="4067" s="34" customFormat="1"/>
    <row r="4068" s="34" customFormat="1"/>
    <row r="4069" s="34" customFormat="1"/>
    <row r="4070" s="34" customFormat="1"/>
    <row r="4071" s="34" customFormat="1"/>
    <row r="4072" s="34" customFormat="1"/>
    <row r="4073" s="34" customFormat="1"/>
    <row r="4074" s="34" customFormat="1"/>
    <row r="4075" s="34" customFormat="1"/>
    <row r="4076" s="34" customFormat="1"/>
    <row r="4077" s="34" customFormat="1"/>
    <row r="4078" s="34" customFormat="1"/>
    <row r="4079" s="34" customFormat="1"/>
    <row r="4080" s="34" customFormat="1"/>
    <row r="4081" s="34" customFormat="1"/>
    <row r="4082" s="34" customFormat="1"/>
    <row r="4083" s="34" customFormat="1"/>
    <row r="4084" s="34" customFormat="1"/>
    <row r="4085" s="34" customFormat="1"/>
    <row r="4086" s="34" customFormat="1"/>
    <row r="4087" s="34" customFormat="1"/>
    <row r="4088" s="34" customFormat="1"/>
    <row r="4089" s="34" customFormat="1"/>
    <row r="4090" s="34" customFormat="1"/>
    <row r="4091" s="34" customFormat="1"/>
    <row r="4092" s="34" customFormat="1"/>
    <row r="4093" s="34" customFormat="1"/>
    <row r="4094" s="34" customFormat="1"/>
    <row r="4095" s="34" customFormat="1"/>
    <row r="4096" s="34" customFormat="1"/>
    <row r="4097" s="34" customFormat="1"/>
    <row r="4098" s="34" customFormat="1"/>
    <row r="4099" s="34" customFormat="1"/>
    <row r="4100" s="34" customFormat="1"/>
    <row r="4101" s="34" customFormat="1"/>
    <row r="4102" s="34" customFormat="1"/>
    <row r="4103" s="34" customFormat="1"/>
    <row r="4104" s="34" customFormat="1"/>
    <row r="4105" s="34" customFormat="1"/>
    <row r="4106" s="34" customFormat="1"/>
    <row r="4107" s="34" customFormat="1"/>
    <row r="4108" s="34" customFormat="1"/>
    <row r="4109" s="34" customFormat="1"/>
    <row r="4110" s="34" customFormat="1"/>
    <row r="4111" s="34" customFormat="1"/>
    <row r="4112" s="34" customFormat="1"/>
    <row r="4113" s="34" customFormat="1"/>
    <row r="4114" s="34" customFormat="1"/>
    <row r="4115" s="34" customFormat="1"/>
    <row r="4116" s="34" customFormat="1"/>
    <row r="4117" s="34" customFormat="1"/>
    <row r="4118" s="34" customFormat="1"/>
    <row r="4119" s="34" customFormat="1"/>
    <row r="4120" s="34" customFormat="1"/>
    <row r="4121" s="34" customFormat="1"/>
    <row r="4122" s="34" customFormat="1"/>
    <row r="4123" s="34" customFormat="1"/>
    <row r="4124" s="34" customFormat="1"/>
    <row r="4125" s="34" customFormat="1"/>
    <row r="4126" s="34" customFormat="1"/>
    <row r="4127" s="34" customFormat="1"/>
    <row r="4128" s="34" customFormat="1"/>
    <row r="4129" s="34" customFormat="1"/>
    <row r="4130" s="34" customFormat="1"/>
    <row r="4131" s="34" customFormat="1"/>
    <row r="4132" s="34" customFormat="1"/>
    <row r="4133" s="34" customFormat="1"/>
    <row r="4134" s="34" customFormat="1"/>
    <row r="4135" s="34" customFormat="1"/>
    <row r="4136" s="34" customFormat="1"/>
    <row r="4137" s="34" customFormat="1"/>
    <row r="4138" s="34" customFormat="1"/>
    <row r="4139" s="34" customFormat="1"/>
    <row r="4140" s="34" customFormat="1"/>
    <row r="4141" s="34" customFormat="1"/>
    <row r="4142" s="34" customFormat="1"/>
    <row r="4143" s="34" customFormat="1"/>
    <row r="4144" s="34" customFormat="1"/>
    <row r="4145" s="34" customFormat="1"/>
    <row r="4146" s="34" customFormat="1"/>
    <row r="4147" s="34" customFormat="1"/>
    <row r="4148" s="34" customFormat="1"/>
    <row r="4149" s="34" customFormat="1"/>
    <row r="4150" s="34" customFormat="1"/>
    <row r="4151" s="34" customFormat="1"/>
    <row r="4152" s="34" customFormat="1"/>
    <row r="4153" s="34" customFormat="1"/>
    <row r="4154" s="34" customFormat="1"/>
    <row r="4155" s="34" customFormat="1"/>
    <row r="4156" s="34" customFormat="1"/>
    <row r="4157" s="34" customFormat="1"/>
    <row r="4158" s="34" customFormat="1"/>
    <row r="4159" s="34" customFormat="1"/>
    <row r="4160" s="34" customFormat="1"/>
    <row r="4161" s="34" customFormat="1"/>
    <row r="4162" s="34" customFormat="1"/>
    <row r="4163" s="34" customFormat="1"/>
    <row r="4164" s="34" customFormat="1"/>
    <row r="4165" s="34" customFormat="1"/>
    <row r="4166" s="34" customFormat="1"/>
    <row r="4167" s="34" customFormat="1"/>
    <row r="4168" s="34" customFormat="1"/>
    <row r="4169" s="34" customFormat="1"/>
    <row r="4170" s="34" customFormat="1"/>
    <row r="4171" s="34" customFormat="1"/>
    <row r="4172" s="34" customFormat="1"/>
    <row r="4173" s="34" customFormat="1"/>
    <row r="4174" s="34" customFormat="1"/>
    <row r="4175" s="34" customFormat="1"/>
    <row r="4176" s="34" customFormat="1"/>
    <row r="4177" s="34" customFormat="1"/>
    <row r="4178" s="34" customFormat="1"/>
    <row r="4179" s="34" customFormat="1"/>
    <row r="4180" s="34" customFormat="1"/>
    <row r="4181" s="34" customFormat="1"/>
    <row r="4182" s="34" customFormat="1"/>
    <row r="4183" s="34" customFormat="1"/>
    <row r="4184" s="34" customFormat="1"/>
    <row r="4185" s="34" customFormat="1"/>
    <row r="4186" s="34" customFormat="1"/>
    <row r="4187" s="34" customFormat="1"/>
    <row r="4188" s="34" customFormat="1"/>
    <row r="4189" s="34" customFormat="1"/>
    <row r="4190" s="34" customFormat="1"/>
    <row r="4191" s="34" customFormat="1"/>
    <row r="4192" s="34" customFormat="1"/>
    <row r="4193" s="34" customFormat="1"/>
    <row r="4194" s="34" customFormat="1"/>
    <row r="4195" s="34" customFormat="1"/>
    <row r="4196" s="34" customFormat="1"/>
    <row r="4197" s="34" customFormat="1"/>
    <row r="4198" s="34" customFormat="1"/>
    <row r="4199" s="34" customFormat="1"/>
    <row r="4200" s="34" customFormat="1"/>
    <row r="4201" s="34" customFormat="1"/>
    <row r="4202" s="34" customFormat="1"/>
    <row r="4203" s="34" customFormat="1"/>
    <row r="4204" s="34" customFormat="1"/>
    <row r="4205" s="34" customFormat="1"/>
    <row r="4206" s="34" customFormat="1"/>
    <row r="4207" s="34" customFormat="1"/>
    <row r="4208" s="34" customFormat="1"/>
    <row r="4209" s="34" customFormat="1"/>
    <row r="4210" s="34" customFormat="1"/>
    <row r="4211" s="34" customFormat="1"/>
    <row r="4212" s="34" customFormat="1"/>
    <row r="4213" s="34" customFormat="1"/>
    <row r="4214" s="34" customFormat="1"/>
    <row r="4215" s="34" customFormat="1"/>
    <row r="4216" s="34" customFormat="1"/>
    <row r="4217" s="34" customFormat="1"/>
    <row r="4218" s="34" customFormat="1"/>
    <row r="4219" s="34" customFormat="1"/>
    <row r="4220" s="34" customFormat="1"/>
    <row r="4221" s="34" customFormat="1"/>
    <row r="4222" s="34" customFormat="1"/>
    <row r="4223" s="34" customFormat="1"/>
    <row r="4224" s="34" customFormat="1"/>
    <row r="4225" s="34" customFormat="1"/>
    <row r="4226" s="34" customFormat="1"/>
    <row r="4227" s="34" customFormat="1"/>
    <row r="4228" s="34" customFormat="1"/>
    <row r="4229" s="34" customFormat="1"/>
    <row r="4230" s="34" customFormat="1"/>
    <row r="4231" s="34" customFormat="1"/>
    <row r="4232" s="34" customFormat="1"/>
    <row r="4233" s="34" customFormat="1"/>
    <row r="4234" s="34" customFormat="1"/>
    <row r="4235" s="34" customFormat="1"/>
    <row r="4236" s="34" customFormat="1"/>
    <row r="4237" s="34" customFormat="1"/>
    <row r="4238" s="34" customFormat="1"/>
    <row r="4239" s="34" customFormat="1"/>
    <row r="4240" s="34" customFormat="1"/>
    <row r="4241" s="34" customFormat="1"/>
    <row r="4242" s="34" customFormat="1"/>
    <row r="4243" s="34" customFormat="1"/>
    <row r="4244" s="34" customFormat="1"/>
    <row r="4245" s="34" customFormat="1"/>
    <row r="4246" s="34" customFormat="1"/>
    <row r="4247" s="34" customFormat="1"/>
    <row r="4248" s="34" customFormat="1"/>
    <row r="4249" s="34" customFormat="1"/>
    <row r="4250" s="34" customFormat="1"/>
    <row r="4251" s="34" customFormat="1"/>
    <row r="4252" s="34" customFormat="1"/>
    <row r="4253" s="34" customFormat="1"/>
    <row r="4254" s="34" customFormat="1"/>
    <row r="4255" s="34" customFormat="1"/>
    <row r="4256" s="34" customFormat="1"/>
    <row r="4257" s="34" customFormat="1"/>
    <row r="4258" s="34" customFormat="1"/>
    <row r="4259" s="34" customFormat="1"/>
    <row r="4260" s="34" customFormat="1"/>
    <row r="4261" s="34" customFormat="1"/>
    <row r="4262" s="34" customFormat="1"/>
    <row r="4263" s="34" customFormat="1"/>
    <row r="4264" s="34" customFormat="1"/>
    <row r="4265" s="34" customFormat="1"/>
    <row r="4266" s="34" customFormat="1"/>
    <row r="4267" s="34" customFormat="1"/>
    <row r="4268" s="34" customFormat="1"/>
    <row r="4269" s="34" customFormat="1"/>
    <row r="4270" s="34" customFormat="1"/>
    <row r="4271" s="34" customFormat="1"/>
    <row r="4272" s="34" customFormat="1"/>
    <row r="4273" s="34" customFormat="1"/>
    <row r="4274" s="34" customFormat="1"/>
    <row r="4275" s="34" customFormat="1"/>
    <row r="4276" s="34" customFormat="1"/>
    <row r="4277" s="34" customFormat="1"/>
    <row r="4278" s="34" customFormat="1"/>
    <row r="4279" s="34" customFormat="1"/>
    <row r="4280" s="34" customFormat="1"/>
    <row r="4281" s="34" customFormat="1"/>
    <row r="4282" s="34" customFormat="1"/>
    <row r="4283" s="34" customFormat="1"/>
    <row r="4284" s="34" customFormat="1"/>
    <row r="4285" s="34" customFormat="1"/>
    <row r="4286" s="34" customFormat="1"/>
    <row r="4287" s="34" customFormat="1"/>
    <row r="4288" s="34" customFormat="1"/>
    <row r="4289" s="34" customFormat="1"/>
    <row r="4290" s="34" customFormat="1"/>
    <row r="4291" s="34" customFormat="1"/>
    <row r="4292" s="34" customFormat="1"/>
    <row r="4293" s="34" customFormat="1"/>
    <row r="4294" s="34" customFormat="1"/>
    <row r="4295" s="34" customFormat="1"/>
    <row r="4296" s="34" customFormat="1"/>
    <row r="4297" s="34" customFormat="1"/>
    <row r="4298" s="34" customFormat="1"/>
    <row r="4299" s="34" customFormat="1"/>
    <row r="4300" s="34" customFormat="1"/>
    <row r="4301" s="34" customFormat="1"/>
    <row r="4302" s="34" customFormat="1"/>
    <row r="4303" s="34" customFormat="1"/>
    <row r="4304" s="34" customFormat="1"/>
    <row r="4305" s="34" customFormat="1"/>
    <row r="4306" s="34" customFormat="1"/>
    <row r="4307" s="34" customFormat="1"/>
    <row r="4308" s="34" customFormat="1"/>
    <row r="4309" s="34" customFormat="1"/>
    <row r="4310" s="34" customFormat="1"/>
    <row r="4311" s="34" customFormat="1"/>
    <row r="4312" s="34" customFormat="1"/>
    <row r="4313" s="34" customFormat="1"/>
    <row r="4314" s="34" customFormat="1"/>
    <row r="4315" s="34" customFormat="1"/>
    <row r="4316" s="34" customFormat="1"/>
    <row r="4317" s="34" customFormat="1"/>
    <row r="4318" s="34" customFormat="1"/>
    <row r="4319" s="34" customFormat="1"/>
    <row r="4320" s="34" customFormat="1"/>
    <row r="4321" s="34" customFormat="1"/>
    <row r="4322" s="34" customFormat="1"/>
    <row r="4323" s="34" customFormat="1"/>
    <row r="4324" s="34" customFormat="1"/>
    <row r="4325" s="34" customFormat="1"/>
    <row r="4326" s="34" customFormat="1"/>
    <row r="4327" s="34" customFormat="1"/>
    <row r="4328" s="34" customFormat="1"/>
    <row r="4329" s="34" customFormat="1"/>
    <row r="4330" s="34" customFormat="1"/>
    <row r="4331" s="34" customFormat="1"/>
    <row r="4332" s="34" customFormat="1"/>
    <row r="4333" s="34" customFormat="1"/>
    <row r="4334" s="34" customFormat="1"/>
    <row r="4335" s="34" customFormat="1"/>
    <row r="4336" s="34" customFormat="1"/>
    <row r="4337" s="34" customFormat="1"/>
    <row r="4338" s="34" customFormat="1"/>
    <row r="4339" s="34" customFormat="1"/>
    <row r="4340" s="34" customFormat="1"/>
    <row r="4341" s="34" customFormat="1"/>
    <row r="4342" s="34" customFormat="1"/>
    <row r="4343" s="34" customFormat="1"/>
    <row r="4344" s="34" customFormat="1"/>
    <row r="4345" s="34" customFormat="1"/>
    <row r="4346" s="34" customFormat="1"/>
    <row r="4347" s="34" customFormat="1"/>
    <row r="4348" s="34" customFormat="1"/>
    <row r="4349" s="34" customFormat="1"/>
    <row r="4350" s="34" customFormat="1"/>
    <row r="4351" s="34" customFormat="1"/>
    <row r="4352" s="34" customFormat="1"/>
    <row r="4353" s="34" customFormat="1"/>
    <row r="4354" s="34" customFormat="1"/>
    <row r="4355" s="34" customFormat="1"/>
    <row r="4356" s="34" customFormat="1"/>
    <row r="4357" s="34" customFormat="1"/>
    <row r="4358" s="34" customFormat="1"/>
    <row r="4359" s="34" customFormat="1"/>
    <row r="4360" s="34" customFormat="1"/>
    <row r="4361" s="34" customFormat="1"/>
    <row r="4362" s="34" customFormat="1"/>
    <row r="4363" s="34" customFormat="1"/>
    <row r="4364" s="34" customFormat="1"/>
    <row r="4365" s="34" customFormat="1"/>
    <row r="4366" s="34" customFormat="1"/>
    <row r="4367" s="34" customFormat="1"/>
    <row r="4368" s="34" customFormat="1"/>
    <row r="4369" s="34" customFormat="1"/>
    <row r="4370" s="34" customFormat="1"/>
    <row r="4371" s="34" customFormat="1"/>
    <row r="4372" s="34" customFormat="1"/>
    <row r="4373" s="34" customFormat="1"/>
    <row r="4374" s="34" customFormat="1"/>
    <row r="4375" s="34" customFormat="1"/>
    <row r="4376" s="34" customFormat="1"/>
    <row r="4377" s="34" customFormat="1"/>
    <row r="4378" s="34" customFormat="1"/>
    <row r="4379" s="34" customFormat="1"/>
    <row r="4380" s="34" customFormat="1"/>
    <row r="4381" s="34" customFormat="1"/>
    <row r="4382" s="34" customFormat="1"/>
    <row r="4383" s="34" customFormat="1"/>
    <row r="4384" s="34" customFormat="1"/>
    <row r="4385" s="34" customFormat="1"/>
    <row r="4386" s="34" customFormat="1"/>
    <row r="4387" s="34" customFormat="1"/>
    <row r="4388" s="34" customFormat="1"/>
    <row r="4389" s="34" customFormat="1"/>
    <row r="4390" s="34" customFormat="1"/>
    <row r="4391" s="34" customFormat="1"/>
    <row r="4392" s="34" customFormat="1"/>
    <row r="4393" s="34" customFormat="1"/>
    <row r="4394" s="34" customFormat="1"/>
    <row r="4395" s="34" customFormat="1"/>
    <row r="4396" s="34" customFormat="1"/>
    <row r="4397" s="34" customFormat="1"/>
    <row r="4398" s="34" customFormat="1"/>
    <row r="4399" s="34" customFormat="1"/>
    <row r="4400" s="34" customFormat="1"/>
    <row r="4401" s="34" customFormat="1"/>
    <row r="4402" s="34" customFormat="1"/>
    <row r="4403" s="34" customFormat="1"/>
    <row r="4404" s="34" customFormat="1"/>
    <row r="4405" s="34" customFormat="1"/>
    <row r="4406" s="34" customFormat="1"/>
    <row r="4407" s="34" customFormat="1"/>
    <row r="4408" s="34" customFormat="1"/>
    <row r="4409" s="34" customFormat="1"/>
    <row r="4410" s="34" customFormat="1"/>
    <row r="4411" s="34" customFormat="1"/>
    <row r="4412" s="34" customFormat="1"/>
    <row r="4413" s="34" customFormat="1"/>
    <row r="4414" s="34" customFormat="1"/>
    <row r="4415" s="34" customFormat="1"/>
    <row r="4416" s="34" customFormat="1"/>
    <row r="4417" s="34" customFormat="1"/>
    <row r="4418" s="34" customFormat="1"/>
    <row r="4419" s="34" customFormat="1"/>
    <row r="4420" s="34" customFormat="1"/>
    <row r="4421" s="34" customFormat="1"/>
    <row r="4422" s="34" customFormat="1"/>
    <row r="4423" s="34" customFormat="1"/>
    <row r="4424" s="34" customFormat="1"/>
    <row r="4425" s="34" customFormat="1"/>
    <row r="4426" s="34" customFormat="1"/>
    <row r="4427" s="34" customFormat="1"/>
    <row r="4428" s="34" customFormat="1"/>
    <row r="4429" s="34" customFormat="1"/>
    <row r="4430" s="34" customFormat="1"/>
    <row r="4431" s="34" customFormat="1"/>
    <row r="4432" s="34" customFormat="1"/>
    <row r="4433" s="34" customFormat="1"/>
    <row r="4434" s="34" customFormat="1"/>
    <row r="4435" s="34" customFormat="1"/>
    <row r="4436" s="34" customFormat="1"/>
    <row r="4437" s="34" customFormat="1"/>
    <row r="4438" s="34" customFormat="1"/>
    <row r="4439" s="34" customFormat="1"/>
    <row r="4440" s="34" customFormat="1"/>
    <row r="4441" s="34" customFormat="1"/>
    <row r="4442" s="34" customFormat="1"/>
    <row r="4443" s="34" customFormat="1"/>
    <row r="4444" s="34" customFormat="1"/>
    <row r="4445" s="34" customFormat="1"/>
    <row r="4446" s="34" customFormat="1"/>
    <row r="4447" s="34" customFormat="1"/>
    <row r="4448" s="34" customFormat="1"/>
    <row r="4449" s="34" customFormat="1"/>
    <row r="4450" s="34" customFormat="1"/>
    <row r="4451" s="34" customFormat="1"/>
    <row r="4452" s="34" customFormat="1"/>
    <row r="4453" s="34" customFormat="1"/>
    <row r="4454" s="34" customFormat="1"/>
    <row r="4455" s="34" customFormat="1"/>
    <row r="4456" s="34" customFormat="1"/>
    <row r="4457" s="34" customFormat="1"/>
    <row r="4458" s="34" customFormat="1"/>
    <row r="4459" s="34" customFormat="1"/>
    <row r="4460" s="34" customFormat="1"/>
    <row r="4461" s="34" customFormat="1"/>
    <row r="4462" s="34" customFormat="1"/>
    <row r="4463" s="34" customFormat="1"/>
    <row r="4464" s="34" customFormat="1"/>
    <row r="4465" s="34" customFormat="1"/>
    <row r="4466" s="34" customFormat="1"/>
    <row r="4467" s="34" customFormat="1"/>
    <row r="4468" s="34" customFormat="1"/>
    <row r="4469" s="34" customFormat="1"/>
    <row r="4470" s="34" customFormat="1"/>
    <row r="4471" s="34" customFormat="1"/>
    <row r="4472" s="34" customFormat="1"/>
    <row r="4473" s="34" customFormat="1"/>
    <row r="4474" s="34" customFormat="1"/>
    <row r="4475" s="34" customFormat="1"/>
    <row r="4476" s="34" customFormat="1"/>
    <row r="4477" s="34" customFormat="1"/>
    <row r="4478" s="34" customFormat="1"/>
    <row r="4479" s="34" customFormat="1"/>
    <row r="4480" s="34" customFormat="1"/>
    <row r="4481" s="34" customFormat="1"/>
    <row r="4482" s="34" customFormat="1"/>
    <row r="4483" s="34" customFormat="1"/>
    <row r="4484" s="34" customFormat="1"/>
    <row r="4485" s="34" customFormat="1"/>
    <row r="4486" s="34" customFormat="1"/>
    <row r="4487" s="34" customFormat="1"/>
    <row r="4488" s="34" customFormat="1"/>
    <row r="4489" s="34" customFormat="1"/>
    <row r="4490" s="34" customFormat="1"/>
    <row r="4491" s="34" customFormat="1"/>
    <row r="4492" s="34" customFormat="1"/>
    <row r="4493" s="34" customFormat="1"/>
    <row r="4494" s="34" customFormat="1"/>
    <row r="4495" s="34" customFormat="1"/>
    <row r="4496" s="34" customFormat="1"/>
    <row r="4497" s="34" customFormat="1"/>
    <row r="4498" s="34" customFormat="1"/>
    <row r="4499" s="34" customFormat="1"/>
    <row r="4500" s="34" customFormat="1"/>
    <row r="4501" s="34" customFormat="1"/>
    <row r="4502" s="34" customFormat="1"/>
    <row r="4503" s="34" customFormat="1"/>
    <row r="4504" s="34" customFormat="1"/>
    <row r="4505" s="34" customFormat="1"/>
    <row r="4506" s="34" customFormat="1"/>
    <row r="4507" s="34" customFormat="1"/>
    <row r="4508" s="34" customFormat="1"/>
    <row r="4509" s="34" customFormat="1"/>
    <row r="4510" s="34" customFormat="1"/>
    <row r="4511" s="34" customFormat="1"/>
    <row r="4512" s="34" customFormat="1"/>
    <row r="4513" s="34" customFormat="1"/>
    <row r="4514" s="34" customFormat="1"/>
    <row r="4515" s="34" customFormat="1"/>
    <row r="4516" s="34" customFormat="1"/>
    <row r="4517" s="34" customFormat="1"/>
    <row r="4518" s="34" customFormat="1"/>
    <row r="4519" s="34" customFormat="1"/>
    <row r="4520" s="34" customFormat="1"/>
    <row r="4521" s="34" customFormat="1"/>
    <row r="4522" s="34" customFormat="1"/>
    <row r="4523" s="34" customFormat="1"/>
    <row r="4524" s="34" customFormat="1"/>
    <row r="4525" s="34" customFormat="1"/>
    <row r="4526" s="34" customFormat="1"/>
    <row r="4527" s="34" customFormat="1"/>
    <row r="4528" s="34" customFormat="1"/>
    <row r="4529" s="34" customFormat="1"/>
    <row r="4530" s="34" customFormat="1"/>
    <row r="4531" s="34" customFormat="1"/>
    <row r="4532" s="34" customFormat="1"/>
    <row r="4533" s="34" customFormat="1"/>
    <row r="4534" s="34" customFormat="1"/>
    <row r="4535" s="34" customFormat="1"/>
    <row r="4536" s="34" customFormat="1"/>
    <row r="4537" s="34" customFormat="1"/>
    <row r="4538" s="34" customFormat="1"/>
    <row r="4539" s="34" customFormat="1"/>
    <row r="4540" s="34" customFormat="1"/>
    <row r="4541" s="34" customFormat="1"/>
    <row r="4542" s="34" customFormat="1"/>
    <row r="4543" s="34" customFormat="1"/>
    <row r="4544" s="34" customFormat="1"/>
    <row r="4545" s="34" customFormat="1"/>
    <row r="4546" s="34" customFormat="1"/>
    <row r="4547" s="34" customFormat="1"/>
    <row r="4548" s="34" customFormat="1"/>
    <row r="4549" s="34" customFormat="1"/>
    <row r="4550" s="34" customFormat="1"/>
    <row r="4551" s="34" customFormat="1"/>
    <row r="4552" s="34" customFormat="1"/>
    <row r="4553" s="34" customFormat="1"/>
    <row r="4554" s="34" customFormat="1"/>
    <row r="4555" s="34" customFormat="1"/>
    <row r="4556" s="34" customFormat="1"/>
    <row r="4557" s="34" customFormat="1"/>
    <row r="4558" s="34" customFormat="1"/>
    <row r="4559" s="34" customFormat="1"/>
    <row r="4560" s="34" customFormat="1"/>
    <row r="4561" s="34" customFormat="1"/>
    <row r="4562" s="34" customFormat="1"/>
    <row r="4563" s="34" customFormat="1"/>
    <row r="4564" s="34" customFormat="1"/>
    <row r="4565" s="34" customFormat="1"/>
    <row r="4566" s="34" customFormat="1"/>
    <row r="4567" s="34" customFormat="1"/>
    <row r="4568" s="34" customFormat="1"/>
    <row r="4569" s="34" customFormat="1"/>
    <row r="4570" s="34" customFormat="1"/>
    <row r="4571" s="34" customFormat="1"/>
    <row r="4572" s="34" customFormat="1"/>
    <row r="4573" s="34" customFormat="1"/>
    <row r="4574" s="34" customFormat="1"/>
    <row r="4575" s="34" customFormat="1"/>
    <row r="4576" s="34" customFormat="1"/>
    <row r="4577" s="34" customFormat="1"/>
    <row r="4578" s="34" customFormat="1"/>
    <row r="4579" s="34" customFormat="1"/>
    <row r="4580" s="34" customFormat="1"/>
    <row r="4581" s="34" customFormat="1"/>
    <row r="4582" s="34" customFormat="1"/>
    <row r="4583" s="34" customFormat="1"/>
    <row r="4584" s="34" customFormat="1"/>
    <row r="4585" s="34" customFormat="1"/>
    <row r="4586" s="34" customFormat="1"/>
    <row r="4587" s="34" customFormat="1"/>
    <row r="4588" s="34" customFormat="1"/>
    <row r="4589" s="34" customFormat="1"/>
    <row r="4590" s="34" customFormat="1"/>
    <row r="4591" s="34" customFormat="1"/>
    <row r="4592" s="34" customFormat="1"/>
    <row r="4593" s="34" customFormat="1"/>
    <row r="4594" s="34" customFormat="1"/>
    <row r="4595" s="34" customFormat="1"/>
    <row r="4596" s="34" customFormat="1"/>
    <row r="4597" s="34" customFormat="1"/>
    <row r="4598" s="34" customFormat="1"/>
    <row r="4599" s="34" customFormat="1"/>
    <row r="4600" s="34" customFormat="1"/>
    <row r="4601" s="34" customFormat="1"/>
    <row r="4602" s="34" customFormat="1"/>
    <row r="4603" s="34" customFormat="1"/>
    <row r="4604" s="34" customFormat="1"/>
    <row r="4605" s="34" customFormat="1"/>
    <row r="4606" s="34" customFormat="1"/>
    <row r="4607" s="34" customFormat="1"/>
    <row r="4608" s="34" customFormat="1"/>
    <row r="4609" s="34" customFormat="1"/>
    <row r="4610" s="34" customFormat="1"/>
    <row r="4611" s="34" customFormat="1"/>
    <row r="4612" s="34" customFormat="1"/>
    <row r="4613" s="34" customFormat="1"/>
    <row r="4614" s="34" customFormat="1"/>
    <row r="4615" s="34" customFormat="1"/>
    <row r="4616" s="34" customFormat="1"/>
    <row r="4617" s="34" customFormat="1"/>
    <row r="4618" s="34" customFormat="1"/>
    <row r="4619" s="34" customFormat="1"/>
    <row r="4620" s="34" customFormat="1"/>
    <row r="4621" s="34" customFormat="1"/>
    <row r="4622" s="34" customFormat="1"/>
    <row r="4623" s="34" customFormat="1"/>
    <row r="4624" s="34" customFormat="1"/>
    <row r="4625" s="34" customFormat="1"/>
    <row r="4626" s="34" customFormat="1"/>
    <row r="4627" s="34" customFormat="1"/>
    <row r="4628" s="34" customFormat="1"/>
    <row r="4629" s="34" customFormat="1"/>
    <row r="4630" s="34" customFormat="1"/>
    <row r="4631" s="34" customFormat="1"/>
    <row r="4632" s="34" customFormat="1"/>
    <row r="4633" s="34" customFormat="1"/>
    <row r="4634" s="34" customFormat="1"/>
    <row r="4635" s="34" customFormat="1"/>
    <row r="4636" s="34" customFormat="1"/>
    <row r="4637" s="34" customFormat="1"/>
    <row r="4638" s="34" customFormat="1"/>
    <row r="4639" s="34" customFormat="1"/>
    <row r="4640" s="34" customFormat="1"/>
    <row r="4641" s="34" customFormat="1"/>
    <row r="4642" s="34" customFormat="1"/>
    <row r="4643" s="34" customFormat="1"/>
    <row r="4644" s="34" customFormat="1"/>
    <row r="4645" s="34" customFormat="1"/>
    <row r="4646" s="34" customFormat="1"/>
    <row r="4647" s="34" customFormat="1"/>
    <row r="4648" s="34" customFormat="1"/>
    <row r="4649" s="34" customFormat="1"/>
    <row r="4650" s="34" customFormat="1"/>
    <row r="4651" s="34" customFormat="1"/>
    <row r="4652" s="34" customFormat="1"/>
    <row r="4653" s="34" customFormat="1"/>
    <row r="4654" s="34" customFormat="1"/>
    <row r="4655" s="34" customFormat="1"/>
    <row r="4656" s="34" customFormat="1"/>
    <row r="4657" s="34" customFormat="1"/>
    <row r="4658" s="34" customFormat="1"/>
    <row r="4659" s="34" customFormat="1"/>
    <row r="4660" s="34" customFormat="1"/>
    <row r="4661" s="34" customFormat="1"/>
    <row r="4662" s="34" customFormat="1"/>
    <row r="4663" s="34" customFormat="1"/>
    <row r="4664" s="34" customFormat="1"/>
    <row r="4665" s="34" customFormat="1"/>
    <row r="4666" s="34" customFormat="1"/>
    <row r="4667" s="34" customFormat="1"/>
    <row r="4668" s="34" customFormat="1"/>
    <row r="4669" s="34" customFormat="1"/>
    <row r="4670" s="34" customFormat="1"/>
    <row r="4671" s="34" customFormat="1"/>
    <row r="4672" s="34" customFormat="1"/>
    <row r="4673" s="34" customFormat="1"/>
    <row r="4674" s="34" customFormat="1"/>
    <row r="4675" s="34" customFormat="1"/>
    <row r="4676" s="34" customFormat="1"/>
    <row r="4677" s="34" customFormat="1"/>
    <row r="4678" s="34" customFormat="1"/>
    <row r="4679" s="34" customFormat="1"/>
    <row r="4680" s="34" customFormat="1"/>
    <row r="4681" s="34" customFormat="1"/>
    <row r="4682" s="34" customFormat="1"/>
    <row r="4683" s="34" customFormat="1"/>
    <row r="4684" s="34" customFormat="1"/>
    <row r="4685" s="34" customFormat="1"/>
    <row r="4686" s="34" customFormat="1"/>
    <row r="4687" s="34" customFormat="1"/>
    <row r="4688" s="34" customFormat="1"/>
    <row r="4689" s="34" customFormat="1"/>
    <row r="4690" s="34" customFormat="1"/>
    <row r="4691" s="34" customFormat="1"/>
    <row r="4692" s="34" customFormat="1"/>
    <row r="4693" s="34" customFormat="1"/>
    <row r="4694" s="34" customFormat="1"/>
    <row r="4695" s="34" customFormat="1"/>
    <row r="4696" s="34" customFormat="1"/>
    <row r="4697" s="34" customFormat="1"/>
    <row r="4698" s="34" customFormat="1"/>
    <row r="4699" s="34" customFormat="1"/>
    <row r="4700" s="34" customFormat="1"/>
    <row r="4701" s="34" customFormat="1"/>
    <row r="4702" s="34" customFormat="1"/>
    <row r="4703" s="34" customFormat="1"/>
    <row r="4704" s="34" customFormat="1"/>
    <row r="4705" s="34" customFormat="1"/>
    <row r="4706" s="34" customFormat="1"/>
    <row r="4707" s="34" customFormat="1"/>
    <row r="4708" s="34" customFormat="1"/>
    <row r="4709" s="34" customFormat="1"/>
    <row r="4710" s="34" customFormat="1"/>
    <row r="4711" s="34" customFormat="1"/>
    <row r="4712" s="34" customFormat="1"/>
    <row r="4713" s="34" customFormat="1"/>
    <row r="4714" s="34" customFormat="1"/>
    <row r="4715" s="34" customFormat="1"/>
    <row r="4716" s="34" customFormat="1"/>
    <row r="4717" s="34" customFormat="1"/>
    <row r="4718" s="34" customFormat="1"/>
    <row r="4719" s="34" customFormat="1"/>
    <row r="4720" s="34" customFormat="1"/>
    <row r="4721" s="34" customFormat="1"/>
    <row r="4722" s="34" customFormat="1"/>
    <row r="4723" s="34" customFormat="1"/>
    <row r="4724" s="34" customFormat="1"/>
    <row r="4725" s="34" customFormat="1"/>
    <row r="4726" s="34" customFormat="1"/>
    <row r="4727" s="34" customFormat="1"/>
    <row r="4728" s="34" customFormat="1"/>
    <row r="4729" s="34" customFormat="1"/>
    <row r="4730" s="34" customFormat="1"/>
    <row r="4731" s="34" customFormat="1"/>
    <row r="4732" s="34" customFormat="1"/>
    <row r="4733" s="34" customFormat="1"/>
    <row r="4734" s="34" customFormat="1"/>
    <row r="4735" s="34" customFormat="1"/>
    <row r="4736" s="34" customFormat="1"/>
    <row r="4737" s="34" customFormat="1"/>
    <row r="4738" s="34" customFormat="1"/>
    <row r="4739" s="34" customFormat="1"/>
    <row r="4740" s="34" customFormat="1"/>
    <row r="4741" s="34" customFormat="1"/>
    <row r="4742" s="34" customFormat="1"/>
    <row r="4743" s="34" customFormat="1"/>
    <row r="4744" s="34" customFormat="1"/>
    <row r="4745" s="34" customFormat="1"/>
    <row r="4746" s="34" customFormat="1"/>
    <row r="4747" s="34" customFormat="1"/>
    <row r="4748" s="34" customFormat="1"/>
    <row r="4749" s="34" customFormat="1"/>
    <row r="4750" s="34" customFormat="1"/>
    <row r="4751" s="34" customFormat="1"/>
    <row r="4752" s="34" customFormat="1"/>
    <row r="4753" s="34" customFormat="1"/>
    <row r="4754" s="34" customFormat="1"/>
    <row r="4755" s="34" customFormat="1"/>
    <row r="4756" s="34" customFormat="1"/>
    <row r="4757" s="34" customFormat="1"/>
    <row r="4758" s="34" customFormat="1"/>
    <row r="4759" s="34" customFormat="1"/>
    <row r="4760" s="34" customFormat="1"/>
    <row r="4761" s="34" customFormat="1"/>
    <row r="4762" s="34" customFormat="1"/>
    <row r="4763" s="34" customFormat="1"/>
    <row r="4764" s="34" customFormat="1"/>
    <row r="4765" s="34" customFormat="1"/>
    <row r="4766" s="34" customFormat="1"/>
    <row r="4767" s="34" customFormat="1"/>
    <row r="4768" s="34" customFormat="1"/>
    <row r="4769" s="34" customFormat="1"/>
    <row r="4770" s="34" customFormat="1"/>
    <row r="4771" s="34" customFormat="1"/>
    <row r="4772" s="34" customFormat="1"/>
    <row r="4773" s="34" customFormat="1"/>
    <row r="4774" s="34" customFormat="1"/>
    <row r="4775" s="34" customFormat="1"/>
    <row r="4776" s="34" customFormat="1"/>
    <row r="4777" s="34" customFormat="1"/>
    <row r="4778" s="34" customFormat="1"/>
    <row r="4779" s="34" customFormat="1"/>
    <row r="4780" s="34" customFormat="1"/>
    <row r="4781" s="34" customFormat="1"/>
    <row r="4782" s="34" customFormat="1"/>
    <row r="4783" s="34" customFormat="1"/>
    <row r="4784" s="34" customFormat="1"/>
    <row r="4785" s="34" customFormat="1"/>
    <row r="4786" s="34" customFormat="1"/>
    <row r="4787" s="34" customFormat="1"/>
    <row r="4788" s="34" customFormat="1"/>
    <row r="4789" s="34" customFormat="1"/>
    <row r="4790" s="34" customFormat="1"/>
    <row r="4791" s="34" customFormat="1"/>
    <row r="4792" s="34" customFormat="1"/>
    <row r="4793" s="34" customFormat="1"/>
    <row r="4794" s="34" customFormat="1"/>
    <row r="4795" s="34" customFormat="1"/>
    <row r="4796" s="34" customFormat="1"/>
    <row r="4797" s="34" customFormat="1"/>
    <row r="4798" s="34" customFormat="1"/>
    <row r="4799" s="34" customFormat="1"/>
    <row r="4800" s="34" customFormat="1"/>
    <row r="4801" s="34" customFormat="1"/>
    <row r="4802" s="34" customFormat="1"/>
    <row r="4803" s="34" customFormat="1"/>
    <row r="4804" s="34" customFormat="1"/>
    <row r="4805" s="34" customFormat="1"/>
    <row r="4806" s="34" customFormat="1"/>
    <row r="4807" s="34" customFormat="1"/>
    <row r="4808" s="34" customFormat="1"/>
    <row r="4809" s="34" customFormat="1"/>
    <row r="4810" s="34" customFormat="1"/>
    <row r="4811" s="34" customFormat="1"/>
    <row r="4812" s="34" customFormat="1"/>
    <row r="4813" s="34" customFormat="1"/>
    <row r="4814" s="34" customFormat="1"/>
    <row r="4815" s="34" customFormat="1"/>
    <row r="4816" s="34" customFormat="1"/>
    <row r="4817" s="34" customFormat="1"/>
    <row r="4818" s="34" customFormat="1"/>
    <row r="4819" s="34" customFormat="1"/>
    <row r="4820" s="34" customFormat="1"/>
    <row r="4821" s="34" customFormat="1"/>
    <row r="4822" s="34" customFormat="1"/>
    <row r="4823" s="34" customFormat="1"/>
    <row r="4824" s="34" customFormat="1"/>
    <row r="4825" s="34" customFormat="1"/>
    <row r="4826" s="34" customFormat="1"/>
    <row r="4827" s="34" customFormat="1"/>
    <row r="4828" s="34" customFormat="1"/>
    <row r="4829" s="34" customFormat="1"/>
    <row r="4830" s="34" customFormat="1"/>
    <row r="4831" s="34" customFormat="1"/>
    <row r="4832" s="34" customFormat="1"/>
    <row r="4833" s="34" customFormat="1"/>
    <row r="4834" s="34" customFormat="1"/>
    <row r="4835" s="34" customFormat="1"/>
    <row r="4836" s="34" customFormat="1"/>
    <row r="4837" s="34" customFormat="1"/>
    <row r="4838" s="34" customFormat="1"/>
    <row r="4839" s="34" customFormat="1"/>
    <row r="4840" s="34" customFormat="1"/>
    <row r="4841" s="34" customFormat="1"/>
    <row r="4842" s="34" customFormat="1"/>
    <row r="4843" s="34" customFormat="1"/>
    <row r="4844" s="34" customFormat="1"/>
    <row r="4845" s="34" customFormat="1"/>
    <row r="4846" s="34" customFormat="1"/>
    <row r="4847" s="34" customFormat="1"/>
    <row r="4848" s="34" customFormat="1"/>
    <row r="4849" s="34" customFormat="1"/>
    <row r="4850" s="34" customFormat="1"/>
    <row r="4851" s="34" customFormat="1"/>
    <row r="4852" s="34" customFormat="1"/>
    <row r="4853" s="34" customFormat="1"/>
    <row r="4854" s="34" customFormat="1"/>
    <row r="4855" s="34" customFormat="1"/>
    <row r="4856" s="34" customFormat="1"/>
    <row r="4857" s="34" customFormat="1"/>
    <row r="4858" s="34" customFormat="1"/>
    <row r="4859" s="34" customFormat="1"/>
    <row r="4860" s="34" customFormat="1"/>
    <row r="4861" s="34" customFormat="1"/>
    <row r="4862" s="34" customFormat="1"/>
    <row r="4863" s="34" customFormat="1"/>
    <row r="4864" s="34" customFormat="1"/>
    <row r="4865" s="34" customFormat="1"/>
    <row r="4866" s="34" customFormat="1"/>
    <row r="4867" s="34" customFormat="1"/>
    <row r="4868" s="34" customFormat="1"/>
    <row r="4869" s="34" customFormat="1"/>
    <row r="4870" s="34" customFormat="1"/>
    <row r="4871" s="34" customFormat="1"/>
    <row r="4872" s="34" customFormat="1"/>
    <row r="4873" s="34" customFormat="1"/>
    <row r="4874" s="34" customFormat="1"/>
    <row r="4875" s="34" customFormat="1"/>
    <row r="4876" s="34" customFormat="1"/>
    <row r="4877" s="34" customFormat="1"/>
    <row r="4878" s="34" customFormat="1"/>
    <row r="4879" s="34" customFormat="1"/>
    <row r="4880" s="34" customFormat="1"/>
    <row r="4881" s="34" customFormat="1"/>
    <row r="4882" s="34" customFormat="1"/>
    <row r="4883" s="34" customFormat="1"/>
    <row r="4884" s="34" customFormat="1"/>
    <row r="4885" s="34" customFormat="1"/>
    <row r="4886" s="34" customFormat="1"/>
    <row r="4887" s="34" customFormat="1"/>
    <row r="4888" s="34" customFormat="1"/>
    <row r="4889" s="34" customFormat="1"/>
    <row r="4890" s="34" customFormat="1"/>
    <row r="4891" s="34" customFormat="1"/>
    <row r="4892" s="34" customFormat="1"/>
    <row r="4893" s="34" customFormat="1"/>
    <row r="4894" s="34" customFormat="1"/>
    <row r="4895" s="34" customFormat="1"/>
    <row r="4896" s="34" customFormat="1"/>
    <row r="4897" s="34" customFormat="1"/>
    <row r="4898" s="34" customFormat="1"/>
    <row r="4899" s="34" customFormat="1"/>
    <row r="4900" s="34" customFormat="1"/>
    <row r="4901" s="34" customFormat="1"/>
    <row r="4902" s="34" customFormat="1"/>
    <row r="4903" s="34" customFormat="1"/>
    <row r="4904" s="34" customFormat="1"/>
    <row r="4905" s="34" customFormat="1"/>
    <row r="4906" s="34" customFormat="1"/>
    <row r="4907" s="34" customFormat="1"/>
    <row r="4908" s="34" customFormat="1"/>
    <row r="4909" s="34" customFormat="1"/>
    <row r="4910" s="34" customFormat="1"/>
    <row r="4911" s="34" customFormat="1"/>
    <row r="4912" s="34" customFormat="1"/>
    <row r="4913" s="34" customFormat="1"/>
    <row r="4914" s="34" customFormat="1"/>
    <row r="4915" s="34" customFormat="1"/>
    <row r="4916" s="34" customFormat="1"/>
    <row r="4917" s="34" customFormat="1"/>
    <row r="4918" s="34" customFormat="1"/>
    <row r="4919" s="34" customFormat="1"/>
    <row r="4920" s="34" customFormat="1"/>
    <row r="4921" s="34" customFormat="1"/>
    <row r="4922" s="34" customFormat="1"/>
    <row r="4923" s="34" customFormat="1"/>
    <row r="4924" s="34" customFormat="1"/>
    <row r="4925" s="34" customFormat="1"/>
    <row r="4926" s="34" customFormat="1"/>
    <row r="4927" s="34" customFormat="1"/>
    <row r="4928" s="34" customFormat="1"/>
    <row r="4929" s="34" customFormat="1"/>
    <row r="4930" s="34" customFormat="1"/>
    <row r="4931" s="34" customFormat="1"/>
    <row r="4932" s="34" customFormat="1"/>
    <row r="4933" s="34" customFormat="1"/>
    <row r="4934" s="34" customFormat="1"/>
    <row r="4935" s="34" customFormat="1"/>
    <row r="4936" s="34" customFormat="1"/>
    <row r="4937" s="34" customFormat="1"/>
    <row r="4938" s="34" customFormat="1"/>
    <row r="4939" s="34" customFormat="1"/>
    <row r="4940" s="34" customFormat="1"/>
    <row r="4941" s="34" customFormat="1"/>
    <row r="4942" s="34" customFormat="1"/>
    <row r="4943" s="34" customFormat="1"/>
    <row r="4944" s="34" customFormat="1"/>
    <row r="4945" s="34" customFormat="1"/>
    <row r="4946" s="34" customFormat="1"/>
    <row r="4947" s="34" customFormat="1"/>
    <row r="4948" s="34" customFormat="1"/>
    <row r="4949" s="34" customFormat="1"/>
    <row r="4950" s="34" customFormat="1"/>
    <row r="4951" s="34" customFormat="1"/>
    <row r="4952" s="34" customFormat="1"/>
    <row r="4953" s="34" customFormat="1"/>
    <row r="4954" s="34" customFormat="1"/>
    <row r="4955" s="34" customFormat="1"/>
    <row r="4956" s="34" customFormat="1"/>
    <row r="4957" s="34" customFormat="1"/>
    <row r="4958" s="34" customFormat="1"/>
    <row r="4959" s="34" customFormat="1"/>
    <row r="4960" s="34" customFormat="1"/>
    <row r="4961" s="34" customFormat="1"/>
    <row r="4962" s="34" customFormat="1"/>
    <row r="4963" s="34" customFormat="1"/>
    <row r="4964" s="34" customFormat="1"/>
    <row r="4965" s="34" customFormat="1"/>
    <row r="4966" s="34" customFormat="1"/>
    <row r="4967" s="34" customFormat="1"/>
    <row r="4968" s="34" customFormat="1"/>
    <row r="4969" s="34" customFormat="1"/>
    <row r="4970" s="34" customFormat="1"/>
    <row r="4971" s="34" customFormat="1"/>
    <row r="4972" s="34" customFormat="1"/>
    <row r="4973" s="34" customFormat="1"/>
    <row r="4974" s="34" customFormat="1"/>
    <row r="4975" s="34" customFormat="1"/>
    <row r="4976" s="34" customFormat="1"/>
    <row r="4977" s="34" customFormat="1"/>
    <row r="4978" s="34" customFormat="1"/>
    <row r="4979" s="34" customFormat="1"/>
    <row r="4980" s="34" customFormat="1"/>
    <row r="4981" s="34" customFormat="1"/>
    <row r="4982" s="34" customFormat="1"/>
    <row r="4983" s="34" customFormat="1"/>
    <row r="4984" s="34" customFormat="1"/>
    <row r="4985" s="34" customFormat="1"/>
    <row r="4986" s="34" customFormat="1"/>
    <row r="4987" s="34" customFormat="1"/>
    <row r="4988" s="34" customFormat="1"/>
    <row r="4989" s="34" customFormat="1"/>
    <row r="4990" s="34" customFormat="1"/>
    <row r="4991" s="34" customFormat="1"/>
    <row r="4992" s="34" customFormat="1"/>
    <row r="4993" s="34" customFormat="1"/>
    <row r="4994" s="34" customFormat="1"/>
    <row r="4995" s="34" customFormat="1"/>
    <row r="4996" s="34" customFormat="1"/>
    <row r="4997" s="34" customFormat="1"/>
    <row r="4998" s="34" customFormat="1"/>
    <row r="4999" s="34" customFormat="1"/>
    <row r="5000" s="34" customFormat="1"/>
    <row r="5001" s="34" customFormat="1"/>
    <row r="5002" s="34" customFormat="1"/>
    <row r="5003" s="34" customFormat="1"/>
    <row r="5004" s="34" customFormat="1"/>
    <row r="5005" s="34" customFormat="1"/>
    <row r="5006" s="34" customFormat="1"/>
    <row r="5007" s="34" customFormat="1"/>
    <row r="5008" s="34" customFormat="1"/>
    <row r="5009" s="34" customFormat="1"/>
    <row r="5010" s="34" customFormat="1"/>
    <row r="5011" s="34" customFormat="1"/>
    <row r="5012" s="34" customFormat="1"/>
    <row r="5013" s="34" customFormat="1"/>
    <row r="5014" s="34" customFormat="1"/>
    <row r="5015" s="34" customFormat="1"/>
    <row r="5016" s="34" customFormat="1"/>
    <row r="5017" s="34" customFormat="1"/>
    <row r="5018" s="34" customFormat="1"/>
    <row r="5019" s="34" customFormat="1"/>
    <row r="5020" s="34" customFormat="1"/>
    <row r="5021" s="34" customFormat="1"/>
    <row r="5022" s="34" customFormat="1"/>
    <row r="5023" s="34" customFormat="1"/>
    <row r="5024" s="34" customFormat="1"/>
    <row r="5025" s="34" customFormat="1"/>
    <row r="5026" s="34" customFormat="1"/>
    <row r="5027" s="34" customFormat="1"/>
    <row r="5028" s="34" customFormat="1"/>
    <row r="5029" s="34" customFormat="1"/>
    <row r="5030" s="34" customFormat="1"/>
    <row r="5031" s="34" customFormat="1"/>
    <row r="5032" s="34" customFormat="1"/>
    <row r="5033" s="34" customFormat="1"/>
    <row r="5034" s="34" customFormat="1"/>
    <row r="5035" s="34" customFormat="1"/>
    <row r="5036" s="34" customFormat="1"/>
    <row r="5037" s="34" customFormat="1"/>
    <row r="5038" s="34" customFormat="1"/>
    <row r="5039" s="34" customFormat="1"/>
    <row r="5040" s="34" customFormat="1"/>
    <row r="5041" s="34" customFormat="1"/>
    <row r="5042" s="34" customFormat="1"/>
    <row r="5043" s="34" customFormat="1"/>
    <row r="5044" s="34" customFormat="1"/>
    <row r="5045" s="34" customFormat="1"/>
    <row r="5046" s="34" customFormat="1"/>
    <row r="5047" s="34" customFormat="1"/>
    <row r="5048" s="34" customFormat="1"/>
    <row r="5049" s="34" customFormat="1"/>
    <row r="5050" s="34" customFormat="1"/>
    <row r="5051" s="34" customFormat="1"/>
    <row r="5052" s="34" customFormat="1"/>
    <row r="5053" s="34" customFormat="1"/>
    <row r="5054" s="34" customFormat="1"/>
    <row r="5055" s="34" customFormat="1"/>
    <row r="5056" s="34" customFormat="1"/>
    <row r="5057" s="34" customFormat="1"/>
    <row r="5058" s="34" customFormat="1"/>
    <row r="5059" s="34" customFormat="1"/>
    <row r="5060" s="34" customFormat="1"/>
    <row r="5061" s="34" customFormat="1"/>
    <row r="5062" s="34" customFormat="1"/>
    <row r="5063" s="34" customFormat="1"/>
    <row r="5064" s="34" customFormat="1"/>
    <row r="5065" s="34" customFormat="1"/>
    <row r="5066" s="34" customFormat="1"/>
    <row r="5067" s="34" customFormat="1"/>
    <row r="5068" s="34" customFormat="1"/>
    <row r="5069" s="34" customFormat="1"/>
    <row r="5070" s="34" customFormat="1"/>
    <row r="5071" s="34" customFormat="1"/>
    <row r="5072" s="34" customFormat="1"/>
    <row r="5073" s="34" customFormat="1"/>
    <row r="5074" s="34" customFormat="1"/>
    <row r="5075" s="34" customFormat="1"/>
    <row r="5076" s="34" customFormat="1"/>
    <row r="5077" s="34" customFormat="1"/>
    <row r="5078" s="34" customFormat="1"/>
    <row r="5079" s="34" customFormat="1"/>
    <row r="5080" s="34" customFormat="1"/>
    <row r="5081" s="34" customFormat="1"/>
    <row r="5082" s="34" customFormat="1"/>
    <row r="5083" s="34" customFormat="1"/>
    <row r="5084" s="34" customFormat="1"/>
    <row r="5085" s="34" customFormat="1"/>
    <row r="5086" s="34" customFormat="1"/>
    <row r="5087" s="34" customFormat="1"/>
    <row r="5088" s="34" customFormat="1"/>
    <row r="5089" s="34" customFormat="1"/>
    <row r="5090" s="34" customFormat="1"/>
    <row r="5091" s="34" customFormat="1"/>
    <row r="5092" s="34" customFormat="1"/>
    <row r="5093" s="34" customFormat="1"/>
    <row r="5094" s="34" customFormat="1"/>
    <row r="5095" s="34" customFormat="1"/>
    <row r="5096" s="34" customFormat="1"/>
    <row r="5097" s="34" customFormat="1"/>
    <row r="5098" s="34" customFormat="1"/>
    <row r="5099" s="34" customFormat="1"/>
    <row r="5100" s="34" customFormat="1"/>
    <row r="5101" s="34" customFormat="1"/>
    <row r="5102" s="34" customFormat="1"/>
    <row r="5103" s="34" customFormat="1"/>
    <row r="5104" s="34" customFormat="1"/>
    <row r="5105" s="34" customFormat="1"/>
    <row r="5106" s="34" customFormat="1"/>
    <row r="5107" s="34" customFormat="1"/>
    <row r="5108" s="34" customFormat="1"/>
    <row r="5109" s="34" customFormat="1"/>
    <row r="5110" s="34" customFormat="1"/>
    <row r="5111" s="34" customFormat="1"/>
    <row r="5112" s="34" customFormat="1"/>
    <row r="5113" s="34" customFormat="1"/>
    <row r="5114" s="34" customFormat="1"/>
    <row r="5115" s="34" customFormat="1"/>
    <row r="5116" s="34" customFormat="1"/>
    <row r="5117" s="34" customFormat="1"/>
    <row r="5118" s="34" customFormat="1"/>
    <row r="5119" s="34" customFormat="1"/>
    <row r="5120" s="34" customFormat="1"/>
    <row r="5121" s="34" customFormat="1"/>
    <row r="5122" s="34" customFormat="1"/>
    <row r="5123" s="34" customFormat="1"/>
    <row r="5124" s="34" customFormat="1"/>
    <row r="5125" s="34" customFormat="1"/>
    <row r="5126" s="34" customFormat="1"/>
    <row r="5127" s="34" customFormat="1"/>
    <row r="5128" s="34" customFormat="1"/>
    <row r="5129" s="34" customFormat="1"/>
    <row r="5130" s="34" customFormat="1"/>
    <row r="5131" s="34" customFormat="1"/>
    <row r="5132" s="34" customFormat="1"/>
    <row r="5133" s="34" customFormat="1"/>
    <row r="5134" s="34" customFormat="1"/>
    <row r="5135" s="34" customFormat="1"/>
    <row r="5136" s="34" customFormat="1"/>
    <row r="5137" s="34" customFormat="1"/>
    <row r="5138" s="34" customFormat="1"/>
    <row r="5139" s="34" customFormat="1"/>
    <row r="5140" s="34" customFormat="1"/>
    <row r="5141" s="34" customFormat="1"/>
    <row r="5142" s="34" customFormat="1"/>
    <row r="5143" s="34" customFormat="1"/>
    <row r="5144" s="34" customFormat="1"/>
    <row r="5145" s="34" customFormat="1"/>
    <row r="5146" s="34" customFormat="1"/>
    <row r="5147" s="34" customFormat="1"/>
    <row r="5148" s="34" customFormat="1"/>
    <row r="5149" s="34" customFormat="1"/>
    <row r="5150" s="34" customFormat="1"/>
    <row r="5151" s="34" customFormat="1"/>
    <row r="5152" s="34" customFormat="1"/>
    <row r="5153" s="34" customFormat="1"/>
    <row r="5154" s="34" customFormat="1"/>
    <row r="5155" s="34" customFormat="1"/>
    <row r="5156" s="34" customFormat="1"/>
    <row r="5157" s="34" customFormat="1"/>
    <row r="5158" s="34" customFormat="1"/>
    <row r="5159" s="34" customFormat="1"/>
    <row r="5160" s="34" customFormat="1"/>
    <row r="5161" s="34" customFormat="1"/>
    <row r="5162" s="34" customFormat="1"/>
    <row r="5163" s="34" customFormat="1"/>
    <row r="5164" s="34" customFormat="1"/>
    <row r="5165" s="34" customFormat="1"/>
    <row r="5166" s="34" customFormat="1"/>
    <row r="5167" s="34" customFormat="1"/>
    <row r="5168" s="34" customFormat="1"/>
    <row r="5169" s="34" customFormat="1"/>
    <row r="5170" s="34" customFormat="1"/>
    <row r="5171" s="34" customFormat="1"/>
    <row r="5172" s="34" customFormat="1"/>
    <row r="5173" s="34" customFormat="1"/>
    <row r="5174" s="34" customFormat="1"/>
    <row r="5175" s="34" customFormat="1"/>
    <row r="5176" s="34" customFormat="1"/>
    <row r="5177" s="34" customFormat="1"/>
    <row r="5178" s="34" customFormat="1"/>
    <row r="5179" s="34" customFormat="1"/>
    <row r="5180" s="34" customFormat="1"/>
    <row r="5181" s="34" customFormat="1"/>
    <row r="5182" s="34" customFormat="1"/>
    <row r="5183" s="34" customFormat="1"/>
    <row r="5184" s="34" customFormat="1"/>
    <row r="5185" s="34" customFormat="1"/>
    <row r="5186" s="34" customFormat="1"/>
    <row r="5187" s="34" customFormat="1"/>
    <row r="5188" s="34" customFormat="1"/>
    <row r="5189" s="34" customFormat="1"/>
    <row r="5190" s="34" customFormat="1"/>
    <row r="5191" s="34" customFormat="1"/>
    <row r="5192" s="34" customFormat="1"/>
    <row r="5193" s="34" customFormat="1"/>
    <row r="5194" s="34" customFormat="1"/>
    <row r="5195" s="34" customFormat="1"/>
    <row r="5196" s="34" customFormat="1"/>
    <row r="5197" s="34" customFormat="1"/>
    <row r="5198" s="34" customFormat="1"/>
    <row r="5199" s="34" customFormat="1"/>
    <row r="5200" s="34" customFormat="1"/>
    <row r="5201" s="34" customFormat="1"/>
    <row r="5202" s="34" customFormat="1"/>
    <row r="5203" s="34" customFormat="1"/>
    <row r="5204" s="34" customFormat="1"/>
    <row r="5205" s="34" customFormat="1"/>
    <row r="5206" s="34" customFormat="1"/>
    <row r="5207" s="34" customFormat="1"/>
    <row r="5208" s="34" customFormat="1"/>
    <row r="5209" s="34" customFormat="1"/>
    <row r="5210" s="34" customFormat="1"/>
    <row r="5211" s="34" customFormat="1"/>
    <row r="5212" s="34" customFormat="1"/>
    <row r="5213" s="34" customFormat="1"/>
    <row r="5214" s="34" customFormat="1"/>
    <row r="5215" s="34" customFormat="1"/>
    <row r="5216" s="34" customFormat="1"/>
    <row r="5217" s="34" customFormat="1"/>
    <row r="5218" s="34" customFormat="1"/>
    <row r="5219" s="34" customFormat="1"/>
    <row r="5220" s="34" customFormat="1"/>
    <row r="5221" s="34" customFormat="1"/>
    <row r="5222" s="34" customFormat="1"/>
    <row r="5223" s="34" customFormat="1"/>
    <row r="5224" s="34" customFormat="1"/>
    <row r="5225" s="34" customFormat="1"/>
    <row r="5226" s="34" customFormat="1"/>
    <row r="5227" s="34" customFormat="1"/>
    <row r="5228" s="34" customFormat="1"/>
    <row r="5229" s="34" customFormat="1"/>
    <row r="5230" s="34" customFormat="1"/>
    <row r="5231" s="34" customFormat="1"/>
    <row r="5232" s="34" customFormat="1"/>
    <row r="5233" s="34" customFormat="1"/>
    <row r="5234" s="34" customFormat="1"/>
    <row r="5235" s="34" customFormat="1"/>
    <row r="5236" s="34" customFormat="1"/>
    <row r="5237" s="34" customFormat="1"/>
    <row r="5238" s="34" customFormat="1"/>
    <row r="5239" s="34" customFormat="1"/>
    <row r="5240" s="34" customFormat="1"/>
    <row r="5241" s="34" customFormat="1"/>
    <row r="5242" s="34" customFormat="1"/>
    <row r="5243" s="34" customFormat="1"/>
    <row r="5244" s="34" customFormat="1"/>
    <row r="5245" s="34" customFormat="1"/>
    <row r="5246" s="34" customFormat="1"/>
    <row r="5247" s="34" customFormat="1"/>
    <row r="5248" s="34" customFormat="1"/>
    <row r="5249" s="34" customFormat="1"/>
    <row r="5250" s="34" customFormat="1"/>
    <row r="5251" s="34" customFormat="1"/>
    <row r="5252" s="34" customFormat="1"/>
    <row r="5253" s="34" customFormat="1"/>
    <row r="5254" s="34" customFormat="1"/>
    <row r="5255" s="34" customFormat="1"/>
    <row r="5256" s="34" customFormat="1"/>
    <row r="5257" s="34" customFormat="1"/>
    <row r="5258" s="34" customFormat="1"/>
    <row r="5259" s="34" customFormat="1"/>
    <row r="5260" s="34" customFormat="1"/>
    <row r="5261" s="34" customFormat="1"/>
    <row r="5262" s="34" customFormat="1"/>
    <row r="5263" s="34" customFormat="1"/>
    <row r="5264" s="34" customFormat="1"/>
    <row r="5265" s="34" customFormat="1"/>
    <row r="5266" s="34" customFormat="1"/>
    <row r="5267" s="34" customFormat="1"/>
    <row r="5268" s="34" customFormat="1"/>
    <row r="5269" s="34" customFormat="1"/>
    <row r="5270" s="34" customFormat="1"/>
    <row r="5271" s="34" customFormat="1"/>
    <row r="5272" s="34" customFormat="1"/>
    <row r="5273" s="34" customFormat="1"/>
    <row r="5274" s="34" customFormat="1"/>
    <row r="5275" s="34" customFormat="1"/>
    <row r="5276" s="34" customFormat="1"/>
    <row r="5277" s="34" customFormat="1"/>
    <row r="5278" s="34" customFormat="1"/>
    <row r="5279" s="34" customFormat="1"/>
    <row r="5280" s="34" customFormat="1"/>
    <row r="5281" s="34" customFormat="1"/>
    <row r="5282" s="34" customFormat="1"/>
    <row r="5283" s="34" customFormat="1"/>
    <row r="5284" s="34" customFormat="1"/>
    <row r="5285" s="34" customFormat="1"/>
    <row r="5286" s="34" customFormat="1"/>
    <row r="5287" s="34" customFormat="1"/>
    <row r="5288" s="34" customFormat="1"/>
    <row r="5289" s="34" customFormat="1"/>
    <row r="5290" s="34" customFormat="1"/>
    <row r="5291" s="34" customFormat="1"/>
    <row r="5292" s="34" customFormat="1"/>
    <row r="5293" s="34" customFormat="1"/>
    <row r="5294" s="34" customFormat="1"/>
    <row r="5295" s="34" customFormat="1"/>
    <row r="5296" s="34" customFormat="1"/>
    <row r="5297" s="34" customFormat="1"/>
    <row r="5298" s="34" customFormat="1"/>
    <row r="5299" s="34" customFormat="1"/>
    <row r="5300" s="34" customFormat="1"/>
    <row r="5301" s="34" customFormat="1"/>
    <row r="5302" s="34" customFormat="1"/>
    <row r="5303" s="34" customFormat="1"/>
    <row r="5304" s="34" customFormat="1"/>
    <row r="5305" s="34" customFormat="1"/>
    <row r="5306" s="34" customFormat="1"/>
    <row r="5307" s="34" customFormat="1"/>
    <row r="5308" s="34" customFormat="1"/>
    <row r="5309" s="34" customFormat="1"/>
    <row r="5310" s="34" customFormat="1"/>
    <row r="5311" s="34" customFormat="1"/>
    <row r="5312" s="34" customFormat="1"/>
    <row r="5313" s="34" customFormat="1"/>
    <row r="5314" s="34" customFormat="1"/>
    <row r="5315" s="34" customFormat="1"/>
    <row r="5316" s="34" customFormat="1"/>
    <row r="5317" s="34" customFormat="1"/>
    <row r="5318" s="34" customFormat="1"/>
    <row r="5319" s="34" customFormat="1"/>
    <row r="5320" s="34" customFormat="1"/>
    <row r="5321" s="34" customFormat="1"/>
    <row r="5322" s="34" customFormat="1"/>
    <row r="5323" s="34" customFormat="1"/>
    <row r="5324" s="34" customFormat="1"/>
    <row r="5325" s="34" customFormat="1"/>
    <row r="5326" s="34" customFormat="1"/>
    <row r="5327" s="34" customFormat="1"/>
    <row r="5328" s="34" customFormat="1"/>
    <row r="5329" s="34" customFormat="1"/>
    <row r="5330" s="34" customFormat="1"/>
    <row r="5331" s="34" customFormat="1"/>
    <row r="5332" s="34" customFormat="1"/>
    <row r="5333" s="34" customFormat="1"/>
    <row r="5334" s="34" customFormat="1"/>
    <row r="5335" s="34" customFormat="1"/>
    <row r="5336" s="34" customFormat="1"/>
    <row r="5337" s="34" customFormat="1"/>
    <row r="5338" s="34" customFormat="1"/>
    <row r="5339" s="34" customFormat="1"/>
    <row r="5340" s="34" customFormat="1"/>
    <row r="5341" s="34" customFormat="1"/>
    <row r="5342" s="34" customFormat="1"/>
    <row r="5343" s="34" customFormat="1"/>
    <row r="5344" s="34" customFormat="1"/>
    <row r="5345" s="34" customFormat="1"/>
    <row r="5346" s="34" customFormat="1"/>
    <row r="5347" s="34" customFormat="1"/>
    <row r="5348" s="34" customFormat="1"/>
    <row r="5349" s="34" customFormat="1"/>
    <row r="5350" s="34" customFormat="1"/>
    <row r="5351" s="34" customFormat="1"/>
    <row r="5352" s="34" customFormat="1"/>
    <row r="5353" s="34" customFormat="1"/>
    <row r="5354" s="34" customFormat="1"/>
    <row r="5355" s="34" customFormat="1"/>
    <row r="5356" s="34" customFormat="1"/>
    <row r="5357" s="34" customFormat="1"/>
    <row r="5358" s="34" customFormat="1"/>
    <row r="5359" s="34" customFormat="1"/>
    <row r="5360" s="34" customFormat="1"/>
    <row r="5361" s="34" customFormat="1"/>
    <row r="5362" s="34" customFormat="1"/>
    <row r="5363" s="34" customFormat="1"/>
    <row r="5364" s="34" customFormat="1"/>
    <row r="5365" s="34" customFormat="1"/>
    <row r="5366" s="34" customFormat="1"/>
    <row r="5367" s="34" customFormat="1"/>
    <row r="5368" s="34" customFormat="1"/>
    <row r="5369" s="34" customFormat="1"/>
    <row r="5370" s="34" customFormat="1"/>
    <row r="5371" s="34" customFormat="1"/>
    <row r="5372" s="34" customFormat="1"/>
    <row r="5373" s="34" customFormat="1"/>
    <row r="5374" s="34" customFormat="1"/>
    <row r="5375" s="34" customFormat="1"/>
    <row r="5376" s="34" customFormat="1"/>
    <row r="5377" s="34" customFormat="1"/>
    <row r="5378" s="34" customFormat="1"/>
    <row r="5379" s="34" customFormat="1"/>
    <row r="5380" s="34" customFormat="1"/>
    <row r="5381" s="34" customFormat="1"/>
    <row r="5382" s="34" customFormat="1"/>
    <row r="5383" s="34" customFormat="1"/>
    <row r="5384" s="34" customFormat="1"/>
    <row r="5385" s="34" customFormat="1"/>
    <row r="5386" s="34" customFormat="1"/>
    <row r="5387" s="34" customFormat="1"/>
    <row r="5388" s="34" customFormat="1"/>
    <row r="5389" s="34" customFormat="1"/>
    <row r="5390" s="34" customFormat="1"/>
    <row r="5391" s="34" customFormat="1"/>
    <row r="5392" s="34" customFormat="1"/>
    <row r="5393" s="34" customFormat="1"/>
    <row r="5394" s="34" customFormat="1"/>
    <row r="5395" s="34" customFormat="1"/>
    <row r="5396" s="34" customFormat="1"/>
    <row r="5397" s="34" customFormat="1"/>
    <row r="5398" s="34" customFormat="1"/>
    <row r="5399" s="34" customFormat="1"/>
    <row r="5400" s="34" customFormat="1"/>
    <row r="5401" s="34" customFormat="1"/>
    <row r="5402" s="34" customFormat="1"/>
    <row r="5403" s="34" customFormat="1"/>
    <row r="5404" s="34" customFormat="1"/>
    <row r="5405" s="34" customFormat="1"/>
    <row r="5406" s="34" customFormat="1"/>
    <row r="5407" s="34" customFormat="1"/>
    <row r="5408" s="34" customFormat="1"/>
    <row r="5409" s="34" customFormat="1"/>
    <row r="5410" s="34" customFormat="1"/>
    <row r="5411" s="34" customFormat="1"/>
    <row r="5412" s="34" customFormat="1"/>
    <row r="5413" s="34" customFormat="1"/>
    <row r="5414" s="34" customFormat="1"/>
    <row r="5415" s="34" customFormat="1"/>
    <row r="5416" s="34" customFormat="1"/>
    <row r="5417" s="34" customFormat="1"/>
    <row r="5418" s="34" customFormat="1"/>
    <row r="5419" s="34" customFormat="1"/>
    <row r="5420" s="34" customFormat="1"/>
    <row r="5421" s="34" customFormat="1"/>
    <row r="5422" s="34" customFormat="1"/>
    <row r="5423" s="34" customFormat="1"/>
    <row r="5424" s="34" customFormat="1"/>
    <row r="5425" s="34" customFormat="1"/>
    <row r="5426" s="34" customFormat="1"/>
    <row r="5427" s="34" customFormat="1"/>
    <row r="5428" s="34" customFormat="1"/>
    <row r="5429" s="34" customFormat="1"/>
    <row r="5430" s="34" customFormat="1"/>
    <row r="5431" s="34" customFormat="1"/>
    <row r="5432" s="34" customFormat="1"/>
    <row r="5433" s="34" customFormat="1"/>
    <row r="5434" s="34" customFormat="1"/>
    <row r="5435" s="34" customFormat="1"/>
    <row r="5436" s="34" customFormat="1"/>
    <row r="5437" s="34" customFormat="1"/>
    <row r="5438" s="34" customFormat="1"/>
    <row r="5439" s="34" customFormat="1"/>
    <row r="5440" s="34" customFormat="1"/>
    <row r="5441" s="34" customFormat="1"/>
    <row r="5442" s="34" customFormat="1"/>
    <row r="5443" s="34" customFormat="1"/>
    <row r="5444" s="34" customFormat="1"/>
    <row r="5445" s="34" customFormat="1"/>
    <row r="5446" s="34" customFormat="1"/>
    <row r="5447" s="34" customFormat="1"/>
    <row r="5448" s="34" customFormat="1"/>
    <row r="5449" s="34" customFormat="1"/>
    <row r="5450" s="34" customFormat="1"/>
    <row r="5451" s="34" customFormat="1"/>
    <row r="5452" s="34" customFormat="1"/>
    <row r="5453" s="34" customFormat="1"/>
    <row r="5454" s="34" customFormat="1"/>
    <row r="5455" s="34" customFormat="1"/>
    <row r="5456" s="34" customFormat="1"/>
    <row r="5457" s="34" customFormat="1"/>
    <row r="5458" s="34" customFormat="1"/>
    <row r="5459" s="34" customFormat="1"/>
    <row r="5460" s="34" customFormat="1"/>
    <row r="5461" s="34" customFormat="1"/>
    <row r="5462" s="34" customFormat="1"/>
    <row r="5463" s="34" customFormat="1"/>
    <row r="5464" s="34" customFormat="1"/>
    <row r="5465" s="34" customFormat="1"/>
    <row r="5466" s="34" customFormat="1"/>
    <row r="5467" s="34" customFormat="1"/>
    <row r="5468" s="34" customFormat="1"/>
    <row r="5469" s="34" customFormat="1"/>
    <row r="5470" s="34" customFormat="1"/>
    <row r="5471" s="34" customFormat="1"/>
    <row r="5472" s="34" customFormat="1"/>
    <row r="5473" s="34" customFormat="1"/>
    <row r="5474" s="34" customFormat="1"/>
    <row r="5475" s="34" customFormat="1"/>
    <row r="5476" s="34" customFormat="1"/>
    <row r="5477" s="34" customFormat="1"/>
    <row r="5478" s="34" customFormat="1"/>
    <row r="5479" s="34" customFormat="1"/>
    <row r="5480" s="34" customFormat="1"/>
    <row r="5481" s="34" customFormat="1"/>
    <row r="5482" s="34" customFormat="1"/>
    <row r="5483" s="34" customFormat="1"/>
    <row r="5484" s="34" customFormat="1"/>
    <row r="5485" s="34" customFormat="1"/>
    <row r="5486" s="34" customFormat="1"/>
    <row r="5487" s="34" customFormat="1"/>
    <row r="5488" s="34" customFormat="1"/>
    <row r="5489" s="34" customFormat="1"/>
    <row r="5490" s="34" customFormat="1"/>
    <row r="5491" s="34" customFormat="1"/>
    <row r="5492" s="34" customFormat="1"/>
    <row r="5493" s="34" customFormat="1"/>
    <row r="5494" s="34" customFormat="1"/>
    <row r="5495" s="34" customFormat="1"/>
    <row r="5496" s="34" customFormat="1"/>
    <row r="5497" s="34" customFormat="1"/>
    <row r="5498" s="34" customFormat="1"/>
    <row r="5499" s="34" customFormat="1"/>
    <row r="5500" s="34" customFormat="1"/>
    <row r="5501" s="34" customFormat="1"/>
    <row r="5502" s="34" customFormat="1"/>
    <row r="5503" s="34" customFormat="1"/>
    <row r="5504" s="34" customFormat="1"/>
    <row r="5505" s="34" customFormat="1"/>
    <row r="5506" s="34" customFormat="1"/>
    <row r="5507" s="34" customFormat="1"/>
    <row r="5508" s="34" customFormat="1"/>
    <row r="5509" s="34" customFormat="1"/>
    <row r="5510" s="34" customFormat="1"/>
    <row r="5511" s="34" customFormat="1"/>
    <row r="5512" s="34" customFormat="1"/>
    <row r="5513" s="34" customFormat="1"/>
    <row r="5514" s="34" customFormat="1"/>
    <row r="5515" s="34" customFormat="1"/>
    <row r="5516" s="34" customFormat="1"/>
    <row r="5517" s="34" customFormat="1"/>
    <row r="5518" s="34" customFormat="1"/>
    <row r="5519" s="34" customFormat="1"/>
    <row r="5520" s="34" customFormat="1"/>
    <row r="5521" s="34" customFormat="1"/>
    <row r="5522" s="34" customFormat="1"/>
    <row r="5523" s="34" customFormat="1"/>
    <row r="5524" s="34" customFormat="1"/>
    <row r="5525" s="34" customFormat="1"/>
    <row r="5526" s="34" customFormat="1"/>
    <row r="5527" s="34" customFormat="1"/>
    <row r="5528" s="34" customFormat="1"/>
    <row r="5529" s="34" customFormat="1"/>
    <row r="5530" s="34" customFormat="1"/>
    <row r="5531" s="34" customFormat="1"/>
    <row r="5532" s="34" customFormat="1"/>
    <row r="5533" s="34" customFormat="1"/>
    <row r="5534" s="34" customFormat="1"/>
    <row r="5535" s="34" customFormat="1"/>
    <row r="5536" s="34" customFormat="1"/>
    <row r="5537" s="34" customFormat="1"/>
    <row r="5538" s="34" customFormat="1"/>
    <row r="5539" s="34" customFormat="1"/>
    <row r="5540" s="34" customFormat="1"/>
    <row r="5541" s="34" customFormat="1"/>
    <row r="5542" s="34" customFormat="1"/>
    <row r="5543" s="34" customFormat="1"/>
    <row r="5544" s="34" customFormat="1"/>
    <row r="5545" s="34" customFormat="1"/>
    <row r="5546" s="34" customFormat="1"/>
    <row r="5547" s="34" customFormat="1"/>
    <row r="5548" s="34" customFormat="1"/>
    <row r="5549" s="34" customFormat="1"/>
    <row r="5550" s="34" customFormat="1"/>
    <row r="5551" s="34" customFormat="1"/>
    <row r="5552" s="34" customFormat="1"/>
    <row r="5553" s="34" customFormat="1"/>
    <row r="5554" s="34" customFormat="1"/>
    <row r="5555" s="34" customFormat="1"/>
    <row r="5556" s="34" customFormat="1"/>
    <row r="5557" s="34" customFormat="1"/>
    <row r="5558" s="34" customFormat="1"/>
    <row r="5559" s="34" customFormat="1"/>
    <row r="5560" s="34" customFormat="1"/>
    <row r="5561" s="34" customFormat="1"/>
    <row r="5562" s="34" customFormat="1"/>
    <row r="5563" s="34" customFormat="1"/>
    <row r="5564" s="34" customFormat="1"/>
    <row r="5565" s="34" customFormat="1"/>
    <row r="5566" s="34" customFormat="1"/>
    <row r="5567" s="34" customFormat="1"/>
    <row r="5568" s="34" customFormat="1"/>
    <row r="5569" s="34" customFormat="1"/>
    <row r="5570" s="34" customFormat="1"/>
    <row r="5571" s="34" customFormat="1"/>
    <row r="5572" s="34" customFormat="1"/>
    <row r="5573" s="34" customFormat="1"/>
    <row r="5574" s="34" customFormat="1"/>
    <row r="5575" s="34" customFormat="1"/>
    <row r="5576" s="34" customFormat="1"/>
    <row r="5577" s="34" customFormat="1"/>
    <row r="5578" s="34" customFormat="1"/>
    <row r="5579" s="34" customFormat="1"/>
    <row r="5580" s="34" customFormat="1"/>
    <row r="5581" s="34" customFormat="1"/>
    <row r="5582" s="34" customFormat="1"/>
    <row r="5583" s="34" customFormat="1"/>
    <row r="5584" s="34" customFormat="1"/>
    <row r="5585" s="34" customFormat="1"/>
    <row r="5586" s="34" customFormat="1"/>
    <row r="5587" s="34" customFormat="1"/>
    <row r="5588" s="34" customFormat="1"/>
    <row r="5589" s="34" customFormat="1"/>
    <row r="5590" s="34" customFormat="1"/>
    <row r="5591" s="34" customFormat="1"/>
    <row r="5592" s="34" customFormat="1"/>
    <row r="5593" s="34" customFormat="1"/>
    <row r="5594" s="34" customFormat="1"/>
    <row r="5595" s="34" customFormat="1"/>
    <row r="5596" s="34" customFormat="1"/>
    <row r="5597" s="34" customFormat="1"/>
    <row r="5598" s="34" customFormat="1"/>
    <row r="5599" s="34" customFormat="1"/>
    <row r="5600" s="34" customFormat="1"/>
    <row r="5601" s="34" customFormat="1"/>
    <row r="5602" s="34" customFormat="1"/>
    <row r="5603" s="34" customFormat="1"/>
    <row r="5604" s="34" customFormat="1"/>
    <row r="5605" s="34" customFormat="1"/>
    <row r="5606" s="34" customFormat="1"/>
    <row r="5607" s="34" customFormat="1"/>
    <row r="5608" s="34" customFormat="1"/>
    <row r="5609" s="34" customFormat="1"/>
    <row r="5610" s="34" customFormat="1"/>
    <row r="5611" s="34" customFormat="1"/>
    <row r="5612" s="34" customFormat="1"/>
    <row r="5613" s="34" customFormat="1"/>
    <row r="5614" s="34" customFormat="1"/>
    <row r="5615" s="34" customFormat="1"/>
    <row r="5616" s="34" customFormat="1"/>
    <row r="5617" s="34" customFormat="1"/>
    <row r="5618" s="34" customFormat="1"/>
    <row r="5619" s="34" customFormat="1"/>
    <row r="5620" s="34" customFormat="1"/>
    <row r="5621" s="34" customFormat="1"/>
    <row r="5622" s="34" customFormat="1"/>
    <row r="5623" s="34" customFormat="1"/>
    <row r="5624" s="34" customFormat="1"/>
    <row r="5625" s="34" customFormat="1"/>
    <row r="5626" s="34" customFormat="1"/>
    <row r="5627" s="34" customFormat="1"/>
    <row r="5628" s="34" customFormat="1"/>
    <row r="5629" s="34" customFormat="1"/>
    <row r="5630" s="34" customFormat="1"/>
    <row r="5631" s="34" customFormat="1"/>
    <row r="5632" s="34" customFormat="1"/>
    <row r="5633" s="34" customFormat="1"/>
    <row r="5634" s="34" customFormat="1"/>
    <row r="5635" s="34" customFormat="1"/>
    <row r="5636" s="34" customFormat="1"/>
    <row r="5637" s="34" customFormat="1"/>
    <row r="5638" s="34" customFormat="1"/>
    <row r="5639" s="34" customFormat="1"/>
    <row r="5640" s="34" customFormat="1"/>
    <row r="5641" s="34" customFormat="1"/>
    <row r="5642" s="34" customFormat="1"/>
    <row r="5643" s="34" customFormat="1"/>
    <row r="5644" s="34" customFormat="1"/>
    <row r="5645" s="34" customFormat="1"/>
    <row r="5646" s="34" customFormat="1"/>
    <row r="5647" s="34" customFormat="1"/>
    <row r="5648" s="34" customFormat="1"/>
    <row r="5649" s="34" customFormat="1"/>
    <row r="5650" s="34" customFormat="1"/>
    <row r="5651" s="34" customFormat="1"/>
    <row r="5652" s="34" customFormat="1"/>
    <row r="5653" s="34" customFormat="1"/>
    <row r="5654" s="34" customFormat="1"/>
    <row r="5655" s="34" customFormat="1"/>
    <row r="5656" s="34" customFormat="1"/>
    <row r="5657" s="34" customFormat="1"/>
    <row r="5658" s="34" customFormat="1"/>
    <row r="5659" s="34" customFormat="1"/>
    <row r="5660" s="34" customFormat="1"/>
    <row r="5661" s="34" customFormat="1"/>
    <row r="5662" s="34" customFormat="1"/>
    <row r="5663" s="34" customFormat="1"/>
    <row r="5664" s="34" customFormat="1"/>
    <row r="5665" s="34" customFormat="1"/>
    <row r="5666" s="34" customFormat="1"/>
    <row r="5667" s="34" customFormat="1"/>
    <row r="5668" s="34" customFormat="1"/>
    <row r="5669" s="34" customFormat="1"/>
    <row r="5670" s="34" customFormat="1"/>
    <row r="5671" s="34" customFormat="1"/>
    <row r="5672" s="34" customFormat="1"/>
    <row r="5673" s="34" customFormat="1"/>
    <row r="5674" s="34" customFormat="1"/>
    <row r="5675" s="34" customFormat="1"/>
    <row r="5676" s="34" customFormat="1"/>
    <row r="5677" s="34" customFormat="1"/>
    <row r="5678" s="34" customFormat="1"/>
    <row r="5679" s="34" customFormat="1"/>
    <row r="5680" s="34" customFormat="1"/>
    <row r="5681" s="34" customFormat="1"/>
    <row r="5682" s="34" customFormat="1"/>
    <row r="5683" s="34" customFormat="1"/>
    <row r="5684" s="34" customFormat="1"/>
    <row r="5685" s="34" customFormat="1"/>
    <row r="5686" s="34" customFormat="1"/>
    <row r="5687" s="34" customFormat="1"/>
    <row r="5688" s="34" customFormat="1"/>
    <row r="5689" s="34" customFormat="1"/>
    <row r="5690" s="34" customFormat="1"/>
    <row r="5691" s="34" customFormat="1"/>
    <row r="5692" s="34" customFormat="1"/>
    <row r="5693" s="34" customFormat="1"/>
    <row r="5694" s="34" customFormat="1"/>
    <row r="5695" s="34" customFormat="1"/>
    <row r="5696" s="34" customFormat="1"/>
    <row r="5697" s="34" customFormat="1"/>
    <row r="5698" s="34" customFormat="1"/>
    <row r="5699" s="34" customFormat="1"/>
    <row r="5700" s="34" customFormat="1"/>
    <row r="5701" s="34" customFormat="1"/>
    <row r="5702" s="34" customFormat="1"/>
    <row r="5703" s="34" customFormat="1"/>
    <row r="5704" s="34" customFormat="1"/>
    <row r="5705" s="34" customFormat="1"/>
    <row r="5706" s="34" customFormat="1"/>
    <row r="5707" s="34" customFormat="1"/>
    <row r="5708" s="34" customFormat="1"/>
    <row r="5709" s="34" customFormat="1"/>
    <row r="5710" s="34" customFormat="1"/>
    <row r="5711" s="34" customFormat="1"/>
    <row r="5712" s="34" customFormat="1"/>
    <row r="5713" s="34" customFormat="1"/>
    <row r="5714" s="34" customFormat="1"/>
    <row r="5715" s="34" customFormat="1"/>
    <row r="5716" s="34" customFormat="1"/>
    <row r="5717" s="34" customFormat="1"/>
    <row r="5718" s="34" customFormat="1"/>
    <row r="5719" s="34" customFormat="1"/>
    <row r="5720" s="34" customFormat="1"/>
    <row r="5721" s="34" customFormat="1"/>
    <row r="5722" s="34" customFormat="1"/>
    <row r="5723" s="34" customFormat="1"/>
    <row r="5724" s="34" customFormat="1"/>
    <row r="5725" s="34" customFormat="1"/>
    <row r="5726" s="34" customFormat="1"/>
    <row r="5727" s="34" customFormat="1"/>
    <row r="5728" s="34" customFormat="1"/>
    <row r="5729" s="34" customFormat="1"/>
    <row r="5730" s="34" customFormat="1"/>
    <row r="5731" s="34" customFormat="1"/>
    <row r="5732" s="34" customFormat="1"/>
    <row r="5733" s="34" customFormat="1"/>
    <row r="5734" s="34" customFormat="1"/>
    <row r="5735" s="34" customFormat="1"/>
    <row r="5736" s="34" customFormat="1"/>
    <row r="5737" s="34" customFormat="1"/>
    <row r="5738" s="34" customFormat="1"/>
    <row r="5739" s="34" customFormat="1"/>
    <row r="5740" s="34" customFormat="1"/>
    <row r="5741" s="34" customFormat="1"/>
    <row r="5742" s="34" customFormat="1"/>
    <row r="5743" s="34" customFormat="1"/>
    <row r="5744" s="34" customFormat="1"/>
    <row r="5745" spans="5:5">
      <c r="E5745" s="34"/>
    </row>
    <row r="5746" spans="5:5">
      <c r="E5746" s="34"/>
    </row>
  </sheetData>
  <mergeCells count="4">
    <mergeCell ref="AI2:BC2"/>
    <mergeCell ref="DD2:EJ2"/>
    <mergeCell ref="EK2:FQ2"/>
    <mergeCell ref="FR2:GZ2"/>
  </mergeCells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Q126"/>
  <sheetViews>
    <sheetView showGridLines="0" showRowColHeaders="0" tabSelected="1" topLeftCell="A8" zoomScale="85" zoomScaleNormal="85" workbookViewId="0">
      <selection activeCell="AN42" sqref="AN42:AR43"/>
    </sheetView>
  </sheetViews>
  <sheetFormatPr defaultColWidth="2.875" defaultRowHeight="12.75" customHeight="1"/>
  <cols>
    <col min="1" max="25" width="2.875" style="2" customWidth="1"/>
    <col min="26" max="27" width="2.875" style="3" customWidth="1"/>
    <col min="28" max="16384" width="2.875" style="2"/>
  </cols>
  <sheetData>
    <row r="1" spans="1:41" ht="12.75" hidden="1" customHeight="1">
      <c r="A1" s="4">
        <v>0</v>
      </c>
      <c r="P1" s="3"/>
      <c r="Q1" s="13"/>
      <c r="R1" s="13"/>
      <c r="S1" s="13"/>
      <c r="T1" s="13"/>
      <c r="U1" s="3"/>
      <c r="V1" s="3"/>
      <c r="W1" s="3"/>
      <c r="X1" s="3"/>
      <c r="Y1" s="3"/>
      <c r="AB1" s="3"/>
    </row>
    <row r="2" spans="1:41" ht="12.75" hidden="1" customHeight="1">
      <c r="P2" s="3"/>
      <c r="Q2" s="8"/>
      <c r="R2" s="8"/>
      <c r="S2" s="8"/>
      <c r="T2" s="8"/>
      <c r="U2" s="3"/>
      <c r="V2" s="3"/>
      <c r="W2" s="3"/>
      <c r="X2" s="3"/>
      <c r="Y2" s="3"/>
      <c r="Z2" s="9"/>
      <c r="AA2" s="9"/>
    </row>
    <row r="3" spans="1:41" ht="12.75" hidden="1" customHeight="1">
      <c r="P3" s="3"/>
      <c r="Q3" s="8"/>
      <c r="R3" s="8"/>
      <c r="S3" s="8"/>
      <c r="T3" s="8"/>
      <c r="U3" s="3"/>
      <c r="V3" s="3"/>
      <c r="W3" s="3"/>
      <c r="X3" s="3"/>
      <c r="Y3" s="3"/>
      <c r="Z3" s="9"/>
      <c r="AA3" s="9"/>
    </row>
    <row r="4" spans="1:41" ht="12.75" hidden="1" customHeight="1">
      <c r="U4" s="3"/>
      <c r="V4" s="3"/>
      <c r="W4" s="3"/>
      <c r="X4" s="3"/>
      <c r="Y4" s="3"/>
      <c r="Z4" s="18"/>
      <c r="AA4" s="18"/>
    </row>
    <row r="5" spans="1:41" ht="12.75" customHeight="1">
      <c r="O5" s="7"/>
      <c r="P5" s="8"/>
      <c r="U5" s="9"/>
      <c r="V5" s="14"/>
      <c r="W5" s="9"/>
      <c r="X5" s="15"/>
      <c r="Y5" s="14"/>
      <c r="Z5" s="19"/>
      <c r="AA5" s="9"/>
    </row>
    <row r="6" spans="1:41" ht="12.75" customHeight="1">
      <c r="O6" s="7"/>
      <c r="P6" s="9"/>
      <c r="Q6" s="16"/>
      <c r="R6" s="16"/>
      <c r="S6" s="16"/>
      <c r="T6" s="16"/>
      <c r="U6" s="9"/>
      <c r="V6" s="14"/>
      <c r="W6" s="9"/>
      <c r="X6" s="15"/>
      <c r="Y6" s="14"/>
      <c r="Z6" s="20"/>
    </row>
    <row r="7" spans="1:41" ht="12.75" customHeight="1">
      <c r="B7" s="71" t="s">
        <v>192</v>
      </c>
      <c r="C7" s="72"/>
      <c r="D7" s="72"/>
      <c r="E7" s="72"/>
      <c r="F7" s="73"/>
      <c r="G7" s="77" t="s">
        <v>193</v>
      </c>
      <c r="H7" s="78"/>
      <c r="I7" s="79"/>
      <c r="J7" s="71" t="s">
        <v>194</v>
      </c>
      <c r="K7" s="72"/>
      <c r="L7" s="72"/>
      <c r="M7" s="73"/>
      <c r="O7" s="7"/>
      <c r="P7" s="52" t="s">
        <v>195</v>
      </c>
      <c r="Q7" s="53"/>
      <c r="R7" s="53"/>
      <c r="S7" s="53"/>
      <c r="T7" s="53"/>
      <c r="U7" s="56" t="str">
        <f>AN42</f>
        <v>Altair</v>
      </c>
      <c r="V7" s="57"/>
      <c r="W7" s="57"/>
      <c r="X7" s="57"/>
      <c r="Y7" s="58"/>
      <c r="Z7" s="20"/>
    </row>
    <row r="8" spans="1:41" ht="12.75" customHeight="1">
      <c r="B8" s="74"/>
      <c r="C8" s="75"/>
      <c r="D8" s="75"/>
      <c r="E8" s="75"/>
      <c r="F8" s="76"/>
      <c r="G8" s="80"/>
      <c r="H8" s="81"/>
      <c r="I8" s="82"/>
      <c r="J8" s="74"/>
      <c r="K8" s="75"/>
      <c r="L8" s="75"/>
      <c r="M8" s="76"/>
      <c r="P8" s="54"/>
      <c r="Q8" s="55"/>
      <c r="R8" s="55"/>
      <c r="S8" s="55"/>
      <c r="T8" s="55"/>
      <c r="U8" s="59"/>
      <c r="V8" s="59"/>
      <c r="W8" s="59"/>
      <c r="X8" s="59"/>
      <c r="Y8" s="60"/>
      <c r="Z8" s="20"/>
      <c r="AA8" s="8"/>
      <c r="AE8" s="2">
        <f>DEGREES(ASIN(SIN(RADIANS(AO12))*SIN(RADIANS(AC22))+COS(RADIANS(AO12))*COS(RADIANS(AC22))*COS(RADIANS(AD19))))</f>
        <v>27.070343611495765</v>
      </c>
    </row>
    <row r="9" spans="1:41" ht="12.75" customHeight="1">
      <c r="B9" s="153" t="s">
        <v>135</v>
      </c>
      <c r="C9" s="154"/>
      <c r="D9" s="154"/>
      <c r="E9" s="154"/>
      <c r="F9" s="155"/>
      <c r="G9" s="156" t="str">
        <f>IF('TABLE (observations)'!AK7&lt;0,"",'TABLE (observations)'!AH7)</f>
        <v/>
      </c>
      <c r="H9" s="157"/>
      <c r="I9" s="158"/>
      <c r="J9" s="89" t="str">
        <f>IF('TABLE (observations)'!AK7&lt;0,"",INT(ABS('TABLE (observations)'!AK7)))</f>
        <v/>
      </c>
      <c r="K9" s="90"/>
      <c r="L9" s="159" t="str">
        <f>IF('TABLE (observations)'!AK7&lt;0,"",('TABLE (observations)'!AK7-J9)*60)</f>
        <v/>
      </c>
      <c r="M9" s="91"/>
      <c r="P9" s="160">
        <f>IF(AC9&lt;0,-INT(ABS(AC9)),INT(ABS(AC9)))</f>
        <v>27</v>
      </c>
      <c r="Q9" s="161"/>
      <c r="R9" s="161"/>
      <c r="S9" s="161"/>
      <c r="T9" s="161"/>
      <c r="U9" s="161"/>
      <c r="V9" s="162">
        <f>(ABS(AC9)-ABS(P9))*60</f>
        <v>4.2206166897459241</v>
      </c>
      <c r="W9" s="162"/>
      <c r="X9" s="162"/>
      <c r="Y9" s="163"/>
      <c r="Z9" s="20"/>
      <c r="AA9" s="14"/>
      <c r="AB9" s="21"/>
      <c r="AC9" s="2">
        <f>VLOOKUP(U7,'TABLE (observations)'!AL7:AN69,3,FALSE)</f>
        <v>27.070343611495765</v>
      </c>
    </row>
    <row r="10" spans="1:41" ht="12.75" customHeight="1">
      <c r="B10" s="150" t="s">
        <v>137</v>
      </c>
      <c r="C10" s="151"/>
      <c r="D10" s="151"/>
      <c r="E10" s="151"/>
      <c r="F10" s="152"/>
      <c r="G10" s="86">
        <f>IF('TABLE (observations)'!AK8&lt;0,"",'TABLE (observations)'!AH8)</f>
        <v>126.70798311160215</v>
      </c>
      <c r="H10" s="87"/>
      <c r="I10" s="88"/>
      <c r="J10" s="89">
        <f>IF('TABLE (observations)'!AK8&lt;0,"",INT(ABS('TABLE (observations)'!AK8)))</f>
        <v>38</v>
      </c>
      <c r="K10" s="90"/>
      <c r="L10" s="91">
        <f>IF('TABLE (observations)'!AK8&lt;0,"",('TABLE (observations)'!AK8-J10)*60)</f>
        <v>8.2419455472060577</v>
      </c>
      <c r="M10" s="91"/>
      <c r="N10" s="5"/>
      <c r="P10" s="64" t="s">
        <v>196</v>
      </c>
      <c r="Q10" s="65"/>
      <c r="R10" s="65"/>
      <c r="S10" s="65"/>
      <c r="T10" s="65"/>
      <c r="U10" s="68">
        <f>AF42</f>
        <v>245</v>
      </c>
      <c r="V10" s="59"/>
      <c r="W10" s="59"/>
      <c r="X10" s="59"/>
      <c r="Y10" s="60"/>
      <c r="Z10" s="20"/>
      <c r="AA10" s="8"/>
    </row>
    <row r="11" spans="1:41" ht="12.75" customHeight="1">
      <c r="B11" s="150" t="s">
        <v>131</v>
      </c>
      <c r="C11" s="151"/>
      <c r="D11" s="151"/>
      <c r="E11" s="151"/>
      <c r="F11" s="152"/>
      <c r="G11" s="86" t="str">
        <f>IF('TABLE (observations)'!AK9&lt;0,"",'TABLE (observations)'!AH9)</f>
        <v/>
      </c>
      <c r="H11" s="87"/>
      <c r="I11" s="88"/>
      <c r="J11" s="89" t="str">
        <f>IF('TABLE (observations)'!AK9&lt;0,"",INT(ABS('TABLE (observations)'!AK9)))</f>
        <v/>
      </c>
      <c r="K11" s="90"/>
      <c r="L11" s="91" t="str">
        <f>IF('TABLE (observations)'!AK9&lt;0,"",('TABLE (observations)'!AK9-J11)*60)</f>
        <v/>
      </c>
      <c r="M11" s="91"/>
      <c r="N11" s="7"/>
      <c r="P11" s="66"/>
      <c r="Q11" s="67"/>
      <c r="R11" s="67"/>
      <c r="S11" s="67"/>
      <c r="T11" s="67"/>
      <c r="U11" s="69"/>
      <c r="V11" s="69"/>
      <c r="W11" s="69"/>
      <c r="X11" s="69"/>
      <c r="Y11" s="70"/>
      <c r="Z11" s="19"/>
      <c r="AA11" s="9"/>
    </row>
    <row r="12" spans="1:41" ht="12.75" customHeight="1">
      <c r="B12" s="150" t="s">
        <v>132</v>
      </c>
      <c r="C12" s="151"/>
      <c r="D12" s="151"/>
      <c r="E12" s="151"/>
      <c r="F12" s="152"/>
      <c r="G12" s="86" t="str">
        <f>IF('TABLE (observations)'!AK10&lt;0,"",'TABLE (observations)'!AH10)</f>
        <v/>
      </c>
      <c r="H12" s="87"/>
      <c r="I12" s="88"/>
      <c r="J12" s="89" t="str">
        <f>IF('TABLE (observations)'!AK10&lt;0,"",INT(ABS('TABLE (observations)'!AK10)))</f>
        <v/>
      </c>
      <c r="K12" s="90"/>
      <c r="L12" s="91" t="str">
        <f>IF('TABLE (observations)'!AK10&lt;0,"",('TABLE (observations)'!AK10-J12)*60)</f>
        <v/>
      </c>
      <c r="M12" s="91"/>
      <c r="N12" s="10"/>
      <c r="P12" s="7"/>
      <c r="Q12" s="7"/>
      <c r="R12" s="7"/>
      <c r="S12" s="7"/>
      <c r="T12" s="7"/>
      <c r="U12" s="5"/>
      <c r="V12" s="5"/>
      <c r="W12" s="5"/>
      <c r="X12" s="5"/>
      <c r="Y12" s="7"/>
      <c r="Z12" s="19"/>
      <c r="AA12" s="9"/>
      <c r="AO12" s="2">
        <f>IF(AY35="S",-AS35-AV35/60,AS35+AV35/60)</f>
        <v>55.573333333333331</v>
      </c>
    </row>
    <row r="13" spans="1:41" ht="12.75" customHeight="1">
      <c r="B13" s="83" t="s">
        <v>133</v>
      </c>
      <c r="C13" s="84"/>
      <c r="D13" s="84"/>
      <c r="E13" s="84"/>
      <c r="F13" s="85"/>
      <c r="G13" s="86" t="str">
        <f>IF('TABLE (observations)'!AK11&lt;0,"",'TABLE (observations)'!AH11)</f>
        <v/>
      </c>
      <c r="H13" s="87"/>
      <c r="I13" s="88"/>
      <c r="J13" s="89" t="str">
        <f>IF('TABLE (observations)'!AK11&lt;0,"",INT(ABS('TABLE (observations)'!AK11)))</f>
        <v/>
      </c>
      <c r="K13" s="90"/>
      <c r="L13" s="91" t="str">
        <f>IF('TABLE (observations)'!AK11&lt;0,"",('TABLE (observations)'!AK11-J13)*60)</f>
        <v/>
      </c>
      <c r="M13" s="91"/>
      <c r="N13" s="10"/>
      <c r="P13" s="142" t="str">
        <f>IF('TABLE (observations)'!K7=1,"GHA","GHA Aries")</f>
        <v>GHA Aries</v>
      </c>
      <c r="Q13" s="143"/>
      <c r="R13" s="143"/>
      <c r="S13" s="143"/>
      <c r="T13" s="143"/>
      <c r="U13" s="148">
        <f t="shared" ref="U13" si="0">INT(AC14)</f>
        <v>342</v>
      </c>
      <c r="V13" s="148"/>
      <c r="W13" s="149">
        <f t="shared" ref="W13" si="1">(AC14-U13)*60</f>
        <v>51.755401985545859</v>
      </c>
      <c r="X13" s="149"/>
      <c r="Y13" s="22"/>
      <c r="Z13" s="19"/>
      <c r="AA13" s="9"/>
      <c r="AO13" s="2">
        <f>IF(AY37="W",-AS37-AV37/60,AS37+AV37/60)</f>
        <v>6.7833333333333332</v>
      </c>
    </row>
    <row r="14" spans="1:41" ht="12.75" customHeight="1">
      <c r="B14" s="83" t="s">
        <v>134</v>
      </c>
      <c r="C14" s="84"/>
      <c r="D14" s="84"/>
      <c r="E14" s="84"/>
      <c r="F14" s="85"/>
      <c r="G14" s="86" t="str">
        <f>IF('TABLE (observations)'!AK12&lt;0,"",'TABLE (observations)'!AH12)</f>
        <v/>
      </c>
      <c r="H14" s="87"/>
      <c r="I14" s="88"/>
      <c r="J14" s="89" t="str">
        <f>IF('TABLE (observations)'!AK12&lt;0,"",INT(ABS('TABLE (observations)'!AK12)))</f>
        <v/>
      </c>
      <c r="K14" s="90"/>
      <c r="L14" s="91" t="str">
        <f>IF('TABLE (observations)'!AK12&lt;0,"",('TABLE (observations)'!AK12-J14)*60)</f>
        <v/>
      </c>
      <c r="M14" s="91"/>
      <c r="N14" s="10"/>
      <c r="P14" s="133" t="s">
        <v>197</v>
      </c>
      <c r="Q14" s="134"/>
      <c r="R14" s="134"/>
      <c r="S14" s="134"/>
      <c r="T14" s="134"/>
      <c r="U14" s="144">
        <f>INT(AC15)</f>
        <v>2</v>
      </c>
      <c r="V14" s="144"/>
      <c r="W14" s="145">
        <f>(AC15-U14)*60</f>
        <v>30.410675781743066</v>
      </c>
      <c r="X14" s="145"/>
      <c r="Y14" s="23"/>
      <c r="Z14" s="19"/>
      <c r="AA14" s="9"/>
      <c r="AC14" s="2">
        <f>IF('TABLE (observations)'!K7=1,VLOOKUP(U7,'TABLE (observations)'!O7:S69,4,FALSE),'TABLE (observations)'!R70)</f>
        <v>342.86259003309243</v>
      </c>
    </row>
    <row r="15" spans="1:41" ht="12.75" customHeight="1">
      <c r="B15" s="83" t="s">
        <v>136</v>
      </c>
      <c r="C15" s="84"/>
      <c r="D15" s="84"/>
      <c r="E15" s="84"/>
      <c r="F15" s="85"/>
      <c r="G15" s="86">
        <f>IF('TABLE (observations)'!AK13&lt;0,"",'TABLE (observations)'!AH13)</f>
        <v>90.91478844785847</v>
      </c>
      <c r="H15" s="87"/>
      <c r="I15" s="88"/>
      <c r="J15" s="89">
        <f>IF('TABLE (observations)'!AK13&lt;0,"",INT(ABS('TABLE (observations)'!AK13)))</f>
        <v>20</v>
      </c>
      <c r="K15" s="90"/>
      <c r="L15" s="91">
        <f>IF('TABLE (observations)'!AK13&lt;0,"",('TABLE (observations)'!AK13-J15)*60)</f>
        <v>50.054634099025037</v>
      </c>
      <c r="M15" s="91"/>
      <c r="N15" s="10"/>
      <c r="P15" s="133" t="str">
        <f>IF('TABLE (observations)'!K7=1,"GHA","GHA Aries")</f>
        <v>GHA Aries</v>
      </c>
      <c r="Q15" s="134"/>
      <c r="R15" s="134"/>
      <c r="S15" s="134"/>
      <c r="T15" s="134"/>
      <c r="U15" s="144">
        <f>INT(AC16)</f>
        <v>345</v>
      </c>
      <c r="V15" s="144"/>
      <c r="W15" s="145">
        <f>(AC16-U15)*60</f>
        <v>22.166077767288925</v>
      </c>
      <c r="X15" s="145"/>
      <c r="Y15" s="23"/>
      <c r="Z15" s="19"/>
      <c r="AA15" s="9"/>
      <c r="AC15" s="2">
        <f>AC16-AC14</f>
        <v>2.5068445963623844</v>
      </c>
      <c r="AH15" s="29">
        <f>(U37+X37/60+AA37/3600)/24+U35</f>
        <v>45173.006944444445</v>
      </c>
      <c r="AI15" s="29">
        <f>AH15+5/24/60</f>
        <v>45173.010416666664</v>
      </c>
    </row>
    <row r="16" spans="1:41" ht="12.75" customHeight="1">
      <c r="B16" s="83" t="s">
        <v>138</v>
      </c>
      <c r="C16" s="84"/>
      <c r="D16" s="84"/>
      <c r="E16" s="84"/>
      <c r="F16" s="85"/>
      <c r="G16" s="86">
        <f>IF('TABLE (observations)'!AK14&lt;0,"",'TABLE (observations)'!AH14)</f>
        <v>346.98570147803338</v>
      </c>
      <c r="H16" s="87"/>
      <c r="I16" s="88"/>
      <c r="J16" s="89">
        <f>IF('TABLE (observations)'!AK14&lt;0,"",INT(ABS('TABLE (observations)'!AK14)))</f>
        <v>22</v>
      </c>
      <c r="K16" s="90"/>
      <c r="L16" s="91">
        <f>IF('TABLE (observations)'!AK14&lt;0,"",('TABLE (observations)'!AK14-J16)*60)</f>
        <v>47.64063013251878</v>
      </c>
      <c r="M16" s="91"/>
      <c r="N16" s="10"/>
      <c r="P16" s="133" t="s">
        <v>198</v>
      </c>
      <c r="Q16" s="134"/>
      <c r="R16" s="134"/>
      <c r="S16" s="134"/>
      <c r="T16" s="134"/>
      <c r="U16" s="144">
        <f>AS37</f>
        <v>6</v>
      </c>
      <c r="V16" s="144"/>
      <c r="W16" s="145">
        <f>AV37</f>
        <v>47</v>
      </c>
      <c r="X16" s="145"/>
      <c r="Y16" s="23" t="str">
        <f>AY37</f>
        <v>E</v>
      </c>
      <c r="Z16" s="19"/>
      <c r="AA16" s="9"/>
      <c r="AC16" s="2">
        <f>IF('TABLE (observations)'!K7=1,VLOOKUP(U7,'TABLE (observations)'!O7:S69,3,FALSE),'TABLE (observations)'!Q70)</f>
        <v>345.36943462945482</v>
      </c>
      <c r="AH16" s="29"/>
    </row>
    <row r="17" spans="2:68" ht="12.75" customHeight="1">
      <c r="B17" s="83" t="s">
        <v>139</v>
      </c>
      <c r="C17" s="84"/>
      <c r="D17" s="84"/>
      <c r="E17" s="84"/>
      <c r="F17" s="85"/>
      <c r="G17" s="86">
        <f>IF('TABLE (observations)'!AK15&lt;0,"",'TABLE (observations)'!AH15)</f>
        <v>336.63741553136248</v>
      </c>
      <c r="H17" s="87"/>
      <c r="I17" s="88"/>
      <c r="J17" s="89">
        <f>IF('TABLE (observations)'!AK15&lt;0,"",INT(ABS('TABLE (observations)'!AK15)))</f>
        <v>18</v>
      </c>
      <c r="K17" s="90"/>
      <c r="L17" s="91">
        <f>IF('TABLE (observations)'!AK15&lt;0,"",('TABLE (observations)'!AK15-J17)*60)</f>
        <v>46.94099736410962</v>
      </c>
      <c r="M17" s="91"/>
      <c r="N17" s="10"/>
      <c r="P17" s="133" t="str">
        <f>IF('TABLE (observations)'!K7=1,"LHA","LHA Aries")</f>
        <v>LHA Aries</v>
      </c>
      <c r="Q17" s="134"/>
      <c r="R17" s="134"/>
      <c r="S17" s="134"/>
      <c r="T17" s="134"/>
      <c r="U17" s="144">
        <f>INT(AC18)</f>
        <v>352</v>
      </c>
      <c r="V17" s="144"/>
      <c r="W17" s="145">
        <f>(AC18-U17)*60</f>
        <v>9.1660777672905169</v>
      </c>
      <c r="X17" s="145"/>
      <c r="Y17" s="23"/>
      <c r="Z17" s="19"/>
      <c r="AA17" s="9"/>
      <c r="AC17" s="2">
        <f>AO13</f>
        <v>6.7833333333333332</v>
      </c>
      <c r="AH17" s="2">
        <f>HOUR(AI15)</f>
        <v>0</v>
      </c>
      <c r="AI17" s="29">
        <f>MINUTE(AI15)</f>
        <v>15</v>
      </c>
      <c r="AJ17" s="2">
        <f>SECOND(AI15)</f>
        <v>0</v>
      </c>
    </row>
    <row r="18" spans="2:68" ht="12.75" customHeight="1">
      <c r="B18" s="83" t="s">
        <v>140</v>
      </c>
      <c r="C18" s="84"/>
      <c r="D18" s="84"/>
      <c r="E18" s="84"/>
      <c r="F18" s="85"/>
      <c r="G18" s="86" t="str">
        <f>IF('TABLE (observations)'!AK16&lt;0,"",'TABLE (observations)'!AH16)</f>
        <v/>
      </c>
      <c r="H18" s="87"/>
      <c r="I18" s="88"/>
      <c r="J18" s="89" t="str">
        <f>IF('TABLE (observations)'!AK16&lt;0,"",INT(ABS('TABLE (observations)'!AK16)))</f>
        <v/>
      </c>
      <c r="K18" s="90"/>
      <c r="L18" s="91" t="str">
        <f>IF('TABLE (observations)'!AK16&lt;0,"",('TABLE (observations)'!AK16-J18)*60)</f>
        <v/>
      </c>
      <c r="M18" s="91"/>
      <c r="N18" s="10"/>
      <c r="P18" s="133" t="str">
        <f>IF('TABLE (observations)'!K7=1,"","SHA")</f>
        <v>SHA</v>
      </c>
      <c r="Q18" s="134"/>
      <c r="R18" s="134"/>
      <c r="S18" s="134"/>
      <c r="T18" s="134"/>
      <c r="U18" s="144">
        <f>IF('TABLE (observations)'!K7=1,"",INT(AC19))</f>
        <v>62</v>
      </c>
      <c r="V18" s="144"/>
      <c r="W18" s="145">
        <f>IF('TABLE (observations)'!K7=1,"",(AC19-U18)*60)</f>
        <v>6.2182288338590297E-2</v>
      </c>
      <c r="X18" s="145"/>
      <c r="Y18" s="23"/>
      <c r="Z18" s="19"/>
      <c r="AA18" s="9"/>
      <c r="AC18" s="2">
        <f>MOD(AC16+AC17,360)</f>
        <v>352.15276796278818</v>
      </c>
    </row>
    <row r="19" spans="2:68" ht="12.75" customHeight="1">
      <c r="B19" s="83" t="s">
        <v>141</v>
      </c>
      <c r="C19" s="84"/>
      <c r="D19" s="84"/>
      <c r="E19" s="84"/>
      <c r="F19" s="85"/>
      <c r="G19" s="86" t="str">
        <f>IF('TABLE (observations)'!AK17&lt;0,"",'TABLE (observations)'!AH17)</f>
        <v/>
      </c>
      <c r="H19" s="87"/>
      <c r="I19" s="88"/>
      <c r="J19" s="89" t="str">
        <f>IF('TABLE (observations)'!AK17&lt;0,"",INT(ABS('TABLE (observations)'!AK17)))</f>
        <v/>
      </c>
      <c r="K19" s="90"/>
      <c r="L19" s="91" t="str">
        <f>IF('TABLE (observations)'!AK17&lt;0,"",('TABLE (observations)'!AK17-J19)*60)</f>
        <v/>
      </c>
      <c r="M19" s="91"/>
      <c r="N19" s="10"/>
      <c r="P19" s="133" t="s">
        <v>199</v>
      </c>
      <c r="Q19" s="134"/>
      <c r="R19" s="134"/>
      <c r="S19" s="134"/>
      <c r="T19" s="134"/>
      <c r="U19" s="144">
        <f>INT(AC20)</f>
        <v>54</v>
      </c>
      <c r="V19" s="144"/>
      <c r="W19" s="145">
        <f>(AC20-U19)*60</f>
        <v>9.2282600556291072</v>
      </c>
      <c r="X19" s="145"/>
      <c r="Y19" s="23" t="str">
        <f>IF(MOD(AC18+AC19,360)&gt;180,"E","W")</f>
        <v>W</v>
      </c>
      <c r="Z19" s="19"/>
      <c r="AA19" s="9"/>
      <c r="AC19" s="2">
        <f>IF('TABLE (observations)'!K7=1,0,VLOOKUP(U7,'TABLE (observations)'!B4:I60,8,FALSE))</f>
        <v>62.00103637147231</v>
      </c>
      <c r="AD19" s="2">
        <f>MOD(AC18+AC19,360)</f>
        <v>54.153804334260485</v>
      </c>
    </row>
    <row r="20" spans="2:68" ht="12.75" customHeight="1">
      <c r="B20" s="83" t="s">
        <v>142</v>
      </c>
      <c r="C20" s="84"/>
      <c r="D20" s="84"/>
      <c r="E20" s="84"/>
      <c r="F20" s="85"/>
      <c r="G20" s="86" t="str">
        <f>IF('TABLE (observations)'!AK18&lt;0,"",'TABLE (observations)'!AH18)</f>
        <v/>
      </c>
      <c r="H20" s="87"/>
      <c r="I20" s="88"/>
      <c r="J20" s="89" t="str">
        <f>IF('TABLE (observations)'!AK18&lt;0,"",INT(ABS('TABLE (observations)'!AK18)))</f>
        <v/>
      </c>
      <c r="K20" s="90"/>
      <c r="L20" s="91" t="str">
        <f>IF('TABLE (observations)'!AK18&lt;0,"",('TABLE (observations)'!AK18-J20)*60)</f>
        <v/>
      </c>
      <c r="M20" s="91"/>
      <c r="N20" s="10"/>
      <c r="P20" s="133" t="s">
        <v>200</v>
      </c>
      <c r="Q20" s="134"/>
      <c r="R20" s="134"/>
      <c r="S20" s="134"/>
      <c r="T20" s="134"/>
      <c r="U20" s="144">
        <f t="shared" ref="U20" si="2">INT(ABS(AC22))</f>
        <v>8</v>
      </c>
      <c r="V20" s="144"/>
      <c r="W20" s="145">
        <f t="shared" ref="W20" si="3">(ABS(AC22)-U20)*60</f>
        <v>55.716901991459089</v>
      </c>
      <c r="X20" s="145"/>
      <c r="Y20" s="23" t="str">
        <f t="shared" ref="Y20" si="4">IF(AC22&lt;0,"S","N")</f>
        <v>N</v>
      </c>
      <c r="Z20" s="19"/>
      <c r="AA20" s="9"/>
      <c r="AC20" s="2">
        <f>IF(AD19&gt;180,360-AD19,AD19)</f>
        <v>54.153804334260485</v>
      </c>
    </row>
    <row r="21" spans="2:68" ht="12.75" customHeight="1">
      <c r="B21" s="83" t="s">
        <v>143</v>
      </c>
      <c r="C21" s="84"/>
      <c r="D21" s="84"/>
      <c r="E21" s="84"/>
      <c r="F21" s="85"/>
      <c r="G21" s="86">
        <f>IF('TABLE (observations)'!AK19&lt;0,"",'TABLE (observations)'!AH19)</f>
        <v>307.35612400172761</v>
      </c>
      <c r="H21" s="87"/>
      <c r="I21" s="88"/>
      <c r="J21" s="89">
        <f>IF('TABLE (observations)'!AK19&lt;0,"",INT(ABS('TABLE (observations)'!AK19)))</f>
        <v>7</v>
      </c>
      <c r="K21" s="90"/>
      <c r="L21" s="91">
        <f>IF('TABLE (observations)'!AK19&lt;0,"",('TABLE (observations)'!AK19-J21)*60)</f>
        <v>32.585407570145861</v>
      </c>
      <c r="M21" s="91"/>
      <c r="N21" s="10"/>
      <c r="P21" s="133" t="s">
        <v>201</v>
      </c>
      <c r="Q21" s="134"/>
      <c r="R21" s="134"/>
      <c r="S21" s="134"/>
      <c r="T21" s="134"/>
      <c r="U21" s="144">
        <f>INT(ABS(AC23))</f>
        <v>0</v>
      </c>
      <c r="V21" s="144"/>
      <c r="W21" s="145">
        <f>(ABS(AC23)-U21)*60</f>
        <v>0</v>
      </c>
      <c r="X21" s="145"/>
      <c r="Y21" s="23" t="str">
        <f>IF(AC23&lt;0,"S","N")</f>
        <v>N</v>
      </c>
      <c r="Z21" s="19"/>
      <c r="AA21" s="9"/>
    </row>
    <row r="22" spans="2:68" ht="12.75" customHeight="1">
      <c r="B22" s="83" t="s">
        <v>144</v>
      </c>
      <c r="C22" s="84"/>
      <c r="D22" s="84"/>
      <c r="E22" s="84"/>
      <c r="F22" s="85"/>
      <c r="G22" s="86">
        <f>IF('TABLE (observations)'!AK20&lt;0,"",'TABLE (observations)'!AH20)</f>
        <v>160.25834525356049</v>
      </c>
      <c r="H22" s="87"/>
      <c r="I22" s="88"/>
      <c r="J22" s="89">
        <f>IF('TABLE (observations)'!AK20&lt;0,"",INT(ABS('TABLE (observations)'!AK20)))</f>
        <v>62</v>
      </c>
      <c r="K22" s="90"/>
      <c r="L22" s="91">
        <f>IF('TABLE (observations)'!AK20&lt;0,"",('TABLE (observations)'!AK20-J22)*60)</f>
        <v>39.061733471722846</v>
      </c>
      <c r="M22" s="91"/>
      <c r="N22" s="10"/>
      <c r="P22" s="137" t="s">
        <v>200</v>
      </c>
      <c r="Q22" s="138"/>
      <c r="R22" s="138"/>
      <c r="S22" s="138"/>
      <c r="T22" s="138"/>
      <c r="U22" s="146">
        <f>INT(ABS(AC24))</f>
        <v>8</v>
      </c>
      <c r="V22" s="146"/>
      <c r="W22" s="147">
        <f>(ABS(AC24)-U22)*60</f>
        <v>55.716901991459089</v>
      </c>
      <c r="X22" s="147"/>
      <c r="Y22" s="24" t="str">
        <f>IF(AC24&lt;0,"S","N")</f>
        <v>N</v>
      </c>
      <c r="Z22" s="19"/>
      <c r="AA22" s="9"/>
      <c r="AC22" s="2">
        <f>IF('TABLE (observations)'!K7=1,VLOOKUP(U7,'TABLE (observations)'!O7:V69,7,FALSE),VLOOKUP(U7,'TABLE (observations)'!B4:J60,9,FALSE))</f>
        <v>8.9286150331909848</v>
      </c>
    </row>
    <row r="23" spans="2:68" ht="12.75" customHeight="1">
      <c r="B23" s="83" t="s">
        <v>145</v>
      </c>
      <c r="C23" s="84"/>
      <c r="D23" s="84"/>
      <c r="E23" s="84"/>
      <c r="F23" s="85"/>
      <c r="G23" s="86">
        <f>IF('TABLE (observations)'!AK21&lt;0,"",'TABLE (observations)'!AH21)</f>
        <v>244.06462459099367</v>
      </c>
      <c r="H23" s="87"/>
      <c r="I23" s="88"/>
      <c r="J23" s="89">
        <f>IF('TABLE (observations)'!AK21&lt;0,"",INT(ABS('TABLE (observations)'!AK21)))</f>
        <v>27</v>
      </c>
      <c r="K23" s="90"/>
      <c r="L23" s="91">
        <f>IF('TABLE (observations)'!AK21&lt;0,"",('TABLE (observations)'!AK21-J23)*60)</f>
        <v>4.2206166897459241</v>
      </c>
      <c r="M23" s="91"/>
      <c r="N23" s="10"/>
      <c r="P23" s="7"/>
      <c r="Q23" s="7"/>
      <c r="R23" s="7"/>
      <c r="S23" s="7"/>
      <c r="T23" s="7"/>
      <c r="U23" s="5"/>
      <c r="V23" s="5"/>
      <c r="W23" s="5"/>
      <c r="X23" s="5"/>
      <c r="Y23" s="7"/>
      <c r="Z23" s="19"/>
      <c r="AA23" s="9"/>
      <c r="AC23" s="2">
        <f>AC24-AC22</f>
        <v>0</v>
      </c>
    </row>
    <row r="24" spans="2:68" ht="12.75" customHeight="1">
      <c r="B24" s="83" t="s">
        <v>146</v>
      </c>
      <c r="C24" s="84"/>
      <c r="D24" s="84"/>
      <c r="E24" s="84"/>
      <c r="F24" s="85"/>
      <c r="G24" s="86" t="str">
        <f>IF('TABLE (observations)'!AK22&lt;0,"",'TABLE (observations)'!AH22)</f>
        <v/>
      </c>
      <c r="H24" s="87"/>
      <c r="I24" s="88"/>
      <c r="J24" s="89" t="str">
        <f>IF('TABLE (observations)'!AK22&lt;0,"",INT(ABS('TABLE (observations)'!AK22)))</f>
        <v/>
      </c>
      <c r="K24" s="90"/>
      <c r="L24" s="91" t="str">
        <f>IF('TABLE (observations)'!AK22&lt;0,"",('TABLE (observations)'!AK22-J24)*60)</f>
        <v/>
      </c>
      <c r="M24" s="91"/>
      <c r="N24" s="10"/>
      <c r="P24" s="142" t="s">
        <v>202</v>
      </c>
      <c r="Q24" s="143"/>
      <c r="R24" s="143"/>
      <c r="S24" s="143"/>
      <c r="T24" s="143"/>
      <c r="U24" s="140">
        <f t="shared" ref="U24" si="5">ABS(AC27)</f>
        <v>1.054057604140505</v>
      </c>
      <c r="V24" s="140"/>
      <c r="W24" s="141" t="str">
        <f t="shared" ref="W24" si="6">IF(AC27&lt;0,"S","N")</f>
        <v>S</v>
      </c>
      <c r="X24" s="141"/>
      <c r="Y24" s="22"/>
      <c r="Z24" s="19"/>
      <c r="AA24" s="9"/>
      <c r="AC24" s="2">
        <f>IF('TABLE (observations)'!K7=1,VLOOKUP(U7,'TABLE (observations)'!O7:V69,6,FALSE),VLOOKUP(U7,'TABLE (observations)'!B4:J60,9,FALSE))</f>
        <v>8.9286150331909848</v>
      </c>
    </row>
    <row r="25" spans="2:68" ht="12.75" customHeight="1">
      <c r="B25" s="83" t="s">
        <v>147</v>
      </c>
      <c r="C25" s="84"/>
      <c r="D25" s="84"/>
      <c r="E25" s="84"/>
      <c r="F25" s="85"/>
      <c r="G25" s="86" t="str">
        <f>IF('TABLE (observations)'!AK23&lt;0,"",'TABLE (observations)'!AH23)</f>
        <v/>
      </c>
      <c r="H25" s="87"/>
      <c r="I25" s="88"/>
      <c r="J25" s="89" t="str">
        <f>IF('TABLE (observations)'!AK23&lt;0,"",INT(ABS('TABLE (observations)'!AK23)))</f>
        <v/>
      </c>
      <c r="K25" s="90"/>
      <c r="L25" s="91" t="str">
        <f>IF('TABLE (observations)'!AK23&lt;0,"",('TABLE (observations)'!AK23-J25)*60)</f>
        <v/>
      </c>
      <c r="M25" s="91"/>
      <c r="N25" s="10"/>
      <c r="P25" s="133" t="s">
        <v>203</v>
      </c>
      <c r="Q25" s="134"/>
      <c r="R25" s="134"/>
      <c r="S25" s="134"/>
      <c r="T25" s="134"/>
      <c r="U25" s="135">
        <f>ABS(AC28)</f>
        <v>0.19381828277484589</v>
      </c>
      <c r="V25" s="135"/>
      <c r="W25" s="136" t="str">
        <f>IF(AC28&lt;0,"S","N")</f>
        <v>N</v>
      </c>
      <c r="X25" s="136"/>
      <c r="Y25" s="23"/>
      <c r="Z25" s="19"/>
      <c r="AA25" s="9"/>
    </row>
    <row r="26" spans="2:68" ht="12.75" customHeight="1">
      <c r="B26" s="83" t="s">
        <v>148</v>
      </c>
      <c r="C26" s="84"/>
      <c r="D26" s="84"/>
      <c r="E26" s="84"/>
      <c r="F26" s="85"/>
      <c r="G26" s="86" t="str">
        <f>IF('TABLE (observations)'!AK24&lt;0,"",'TABLE (observations)'!AH24)</f>
        <v/>
      </c>
      <c r="H26" s="87"/>
      <c r="I26" s="88"/>
      <c r="J26" s="89" t="str">
        <f>IF('TABLE (observations)'!AK24&lt;0,"",INT(ABS('TABLE (observations)'!AK24)))</f>
        <v/>
      </c>
      <c r="K26" s="90"/>
      <c r="L26" s="91" t="str">
        <f>IF('TABLE (observations)'!AK24&lt;0,"",('TABLE (observations)'!AK24-J26)*60)</f>
        <v/>
      </c>
      <c r="M26" s="91"/>
      <c r="N26" s="10"/>
      <c r="P26" s="133" t="s">
        <v>204</v>
      </c>
      <c r="Q26" s="134"/>
      <c r="R26" s="134"/>
      <c r="S26" s="134"/>
      <c r="T26" s="134"/>
      <c r="U26" s="135">
        <f>ABS(AC29)</f>
        <v>0.86023932136565906</v>
      </c>
      <c r="V26" s="135"/>
      <c r="W26" s="136" t="str">
        <f>IF(AC29&lt;0,"S","N")</f>
        <v>S</v>
      </c>
      <c r="X26" s="136"/>
      <c r="Y26" s="23"/>
      <c r="Z26" s="19"/>
      <c r="AA26" s="9"/>
      <c r="AC26" s="2">
        <f>IF(AD19&gt;90,IF(AD19&lt;270,1,0),0)</f>
        <v>0</v>
      </c>
      <c r="AD26" s="2">
        <f>ABS(TAN(RADIANS(ABS(AO12)))/TAN(RADIANS(ABS(AC20))))</f>
        <v>1.054057604140505</v>
      </c>
      <c r="AR26" s="7"/>
      <c r="AS26" s="7"/>
      <c r="AT26" s="7"/>
      <c r="AU26" s="7"/>
      <c r="AV26" s="7"/>
      <c r="AW26" s="7"/>
    </row>
    <row r="27" spans="2:68" ht="12.75" customHeight="1">
      <c r="B27" s="83" t="s">
        <v>149</v>
      </c>
      <c r="C27" s="84"/>
      <c r="D27" s="84"/>
      <c r="E27" s="84"/>
      <c r="F27" s="85"/>
      <c r="G27" s="86" t="str">
        <f>IF('TABLE (observations)'!AK25&lt;0,"",'TABLE (observations)'!AH25)</f>
        <v/>
      </c>
      <c r="H27" s="87"/>
      <c r="I27" s="88"/>
      <c r="J27" s="89" t="str">
        <f>IF('TABLE (observations)'!AK25&lt;0,"",INT(ABS('TABLE (observations)'!AK25)))</f>
        <v/>
      </c>
      <c r="K27" s="90"/>
      <c r="L27" s="91" t="str">
        <f>IF('TABLE (observations)'!AK25&lt;0,"",('TABLE (observations)'!AK25-J27)*60)</f>
        <v/>
      </c>
      <c r="M27" s="91"/>
      <c r="N27" s="10"/>
      <c r="P27" s="137" t="s">
        <v>205</v>
      </c>
      <c r="Q27" s="138"/>
      <c r="R27" s="138"/>
      <c r="S27" s="138"/>
      <c r="T27" s="138"/>
      <c r="U27" s="17" t="str">
        <f>W26</f>
        <v>S</v>
      </c>
      <c r="V27" s="139">
        <f>AC30</f>
        <v>64.064624590993674</v>
      </c>
      <c r="W27" s="139"/>
      <c r="X27" s="17" t="str">
        <f>Y19</f>
        <v>W</v>
      </c>
      <c r="Y27" s="24"/>
      <c r="Z27" s="19"/>
      <c r="AA27" s="9"/>
      <c r="AC27" s="2">
        <f>IF(AC26=0,IF(AY35="N",-AD26,AD26),IF(AY35="N",AD26,-AD26))</f>
        <v>-1.054057604140505</v>
      </c>
      <c r="AR27" s="7"/>
      <c r="AS27" s="7"/>
      <c r="AT27" s="7"/>
      <c r="AU27" s="7"/>
      <c r="AV27" s="7"/>
      <c r="AW27" s="7"/>
    </row>
    <row r="28" spans="2:68" ht="12.75" customHeight="1">
      <c r="B28" s="83" t="s">
        <v>150</v>
      </c>
      <c r="C28" s="84"/>
      <c r="D28" s="84"/>
      <c r="E28" s="84"/>
      <c r="F28" s="85"/>
      <c r="G28" s="86" t="str">
        <f>IF('TABLE (observations)'!AK26&lt;0,"",'TABLE (observations)'!AH26)</f>
        <v/>
      </c>
      <c r="H28" s="87"/>
      <c r="I28" s="88"/>
      <c r="J28" s="89" t="str">
        <f>IF('TABLE (observations)'!AK26&lt;0,"",INT(ABS('TABLE (observations)'!AK26)))</f>
        <v/>
      </c>
      <c r="K28" s="90"/>
      <c r="L28" s="91" t="str">
        <f>IF('TABLE (observations)'!AK26&lt;0,"",('TABLE (observations)'!AK26-J28)*60)</f>
        <v/>
      </c>
      <c r="M28" s="91"/>
      <c r="N28" s="10"/>
      <c r="P28" s="7"/>
      <c r="Q28" s="7"/>
      <c r="R28" s="7"/>
      <c r="S28" s="7"/>
      <c r="T28" s="7"/>
      <c r="U28" s="5"/>
      <c r="V28" s="5"/>
      <c r="W28" s="5"/>
      <c r="X28" s="5"/>
      <c r="Y28" s="7"/>
      <c r="Z28" s="19"/>
      <c r="AA28" s="9"/>
      <c r="AC28" s="2">
        <f>IF(Y22="N",ABS(TAN(RADIANS(AC24))/SIN(RADIANS(AD19))),-ABS(TAN(RADIANS(AC24))/SIN(RADIANS(AD19))))</f>
        <v>0.19381828277484589</v>
      </c>
      <c r="AR28" s="7"/>
      <c r="AS28" s="7"/>
      <c r="AT28" s="7"/>
      <c r="AU28" s="30"/>
      <c r="AV28" s="7"/>
      <c r="AW28" s="7"/>
    </row>
    <row r="29" spans="2:68" ht="12.75" customHeight="1">
      <c r="B29" s="83" t="s">
        <v>151</v>
      </c>
      <c r="C29" s="84"/>
      <c r="D29" s="84"/>
      <c r="E29" s="84"/>
      <c r="F29" s="85"/>
      <c r="G29" s="86">
        <f>IF('TABLE (observations)'!AK27&lt;0,"",'TABLE (observations)'!AH27)</f>
        <v>86.853588697916194</v>
      </c>
      <c r="H29" s="87"/>
      <c r="I29" s="88"/>
      <c r="J29" s="89">
        <f>IF('TABLE (observations)'!AK27&lt;0,"",INT(ABS('TABLE (observations)'!AK27)))</f>
        <v>5</v>
      </c>
      <c r="K29" s="90"/>
      <c r="L29" s="91">
        <f>IF('TABLE (observations)'!AK27&lt;0,"",('TABLE (observations)'!AK27-J29)*60)</f>
        <v>34.06650922734508</v>
      </c>
      <c r="M29" s="91"/>
      <c r="N29" s="10"/>
      <c r="Z29" s="25"/>
      <c r="AA29" s="26"/>
      <c r="AC29" s="2">
        <f>AC27+AC28</f>
        <v>-0.86023932136565906</v>
      </c>
      <c r="AR29" s="7"/>
      <c r="AS29" s="7"/>
      <c r="AT29" s="7"/>
      <c r="AU29" s="7"/>
      <c r="AV29" s="7"/>
      <c r="AW29" s="7"/>
    </row>
    <row r="30" spans="2:68" ht="12.75" customHeight="1">
      <c r="B30" s="83" t="s">
        <v>152</v>
      </c>
      <c r="C30" s="84"/>
      <c r="D30" s="84"/>
      <c r="E30" s="84"/>
      <c r="F30" s="85"/>
      <c r="G30" s="86">
        <f>IF('TABLE (observations)'!AK28&lt;0,"",'TABLE (observations)'!AH28)</f>
        <v>80.0975037742853</v>
      </c>
      <c r="H30" s="87"/>
      <c r="I30" s="88"/>
      <c r="J30" s="89">
        <f>IF('TABLE (observations)'!AK28&lt;0,"",INT(ABS('TABLE (observations)'!AK28)))</f>
        <v>2</v>
      </c>
      <c r="K30" s="90"/>
      <c r="L30" s="91">
        <f>IF('TABLE (observations)'!AK28&lt;0,"",('TABLE (observations)'!AK28-J30)*60)</f>
        <v>12.466531899066551</v>
      </c>
      <c r="M30" s="91"/>
      <c r="N30" s="10"/>
      <c r="Z30" s="27"/>
      <c r="AA30" s="6"/>
      <c r="AC30" s="2">
        <f>ABS(DEGREES(ATAN(1/(COS(RADIANS(ABS(AO12)))*AC29))))</f>
        <v>64.064624590993674</v>
      </c>
    </row>
    <row r="31" spans="2:68" ht="12.75" customHeight="1">
      <c r="B31" s="83" t="s">
        <v>153</v>
      </c>
      <c r="C31" s="84"/>
      <c r="D31" s="84"/>
      <c r="E31" s="84"/>
      <c r="F31" s="85"/>
      <c r="G31" s="86" t="str">
        <f>IF('TABLE (observations)'!AK29&lt;0,"",'TABLE (observations)'!AH29)</f>
        <v/>
      </c>
      <c r="H31" s="87"/>
      <c r="I31" s="88"/>
      <c r="J31" s="89" t="str">
        <f>IF('TABLE (observations)'!AK29&lt;0,"",INT(ABS('TABLE (observations)'!AK29)))</f>
        <v/>
      </c>
      <c r="K31" s="90"/>
      <c r="L31" s="91" t="str">
        <f>IF('TABLE (observations)'!AK29&lt;0,"",('TABLE (observations)'!AK29-J31)*60)</f>
        <v/>
      </c>
      <c r="M31" s="91"/>
      <c r="N31" s="10"/>
      <c r="Z31" s="27"/>
      <c r="AA31" s="6"/>
      <c r="AC31" s="2">
        <f>IF(W26="S",IF(Y19="W",180+AC30,180-AC30),IF(Y19="W",360-AC30,AC30))</f>
        <v>244.06462459099367</v>
      </c>
    </row>
    <row r="32" spans="2:68" ht="12.75" customHeight="1">
      <c r="B32" s="83" t="s">
        <v>154</v>
      </c>
      <c r="C32" s="84"/>
      <c r="D32" s="84"/>
      <c r="E32" s="84"/>
      <c r="F32" s="85"/>
      <c r="G32" s="86">
        <f>IF('TABLE (observations)'!AK30&lt;0,"",'TABLE (observations)'!AH30)</f>
        <v>61.268081822403339</v>
      </c>
      <c r="H32" s="87"/>
      <c r="I32" s="88"/>
      <c r="J32" s="89">
        <f>IF('TABLE (observations)'!AK30&lt;0,"",INT(ABS('TABLE (observations)'!AK30)))</f>
        <v>37</v>
      </c>
      <c r="K32" s="90"/>
      <c r="L32" s="91">
        <f>IF('TABLE (observations)'!AK30&lt;0,"",('TABLE (observations)'!AK30-J32)*60)</f>
        <v>43.168299320062005</v>
      </c>
      <c r="M32" s="91"/>
      <c r="N32" s="10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</row>
    <row r="33" spans="2:69" s="1" customFormat="1" ht="12.75" customHeight="1">
      <c r="B33" s="83" t="s">
        <v>155</v>
      </c>
      <c r="C33" s="84"/>
      <c r="D33" s="84"/>
      <c r="E33" s="84"/>
      <c r="F33" s="85"/>
      <c r="G33" s="86">
        <f>IF('TABLE (observations)'!AK31&lt;0,"",'TABLE (observations)'!AH31)</f>
        <v>266.05972706713806</v>
      </c>
      <c r="H33" s="87"/>
      <c r="I33" s="88"/>
      <c r="J33" s="89">
        <f>IF('TABLE (observations)'!AK31&lt;0,"",INT(ABS('TABLE (observations)'!AK31)))</f>
        <v>62</v>
      </c>
      <c r="K33" s="90"/>
      <c r="L33" s="91">
        <f>IF('TABLE (observations)'!AK31&lt;0,"",('TABLE (observations)'!AK31-J33)*60)</f>
        <v>12.636813491999703</v>
      </c>
      <c r="M33" s="91"/>
      <c r="N33" s="10"/>
      <c r="O33" s="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</row>
    <row r="34" spans="2:69" ht="12.75" customHeight="1">
      <c r="B34" s="83" t="s">
        <v>156</v>
      </c>
      <c r="C34" s="84"/>
      <c r="D34" s="84"/>
      <c r="E34" s="84"/>
      <c r="F34" s="85"/>
      <c r="G34" s="86" t="str">
        <f>IF('TABLE (observations)'!AK32&lt;0,"",'TABLE (observations)'!AH32)</f>
        <v/>
      </c>
      <c r="H34" s="87"/>
      <c r="I34" s="88"/>
      <c r="J34" s="89" t="str">
        <f>IF('TABLE (observations)'!AK32&lt;0,"",INT(ABS('TABLE (observations)'!AK32)))</f>
        <v/>
      </c>
      <c r="K34" s="90"/>
      <c r="L34" s="91" t="str">
        <f>IF('TABLE (observations)'!AK32&lt;0,"",('TABLE (observations)'!AK32-J34)*60)</f>
        <v/>
      </c>
      <c r="M34" s="91"/>
      <c r="N34" s="10"/>
      <c r="Z34" s="2"/>
      <c r="AA34" s="2"/>
    </row>
    <row r="35" spans="2:69" ht="12.75" customHeight="1">
      <c r="B35" s="83" t="s">
        <v>157</v>
      </c>
      <c r="C35" s="84"/>
      <c r="D35" s="84"/>
      <c r="E35" s="84"/>
      <c r="F35" s="85"/>
      <c r="G35" s="86">
        <f>IF('TABLE (observations)'!AK33&lt;0,"",'TABLE (observations)'!AH33)</f>
        <v>161.26426262886486</v>
      </c>
      <c r="H35" s="87"/>
      <c r="I35" s="88"/>
      <c r="J35" s="89">
        <f>IF('TABLE (observations)'!AK33&lt;0,"",INT(ABS('TABLE (observations)'!AK33)))</f>
        <v>14</v>
      </c>
      <c r="K35" s="90"/>
      <c r="L35" s="91">
        <f>IF('TABLE (observations)'!AK33&lt;0,"",('TABLE (observations)'!AK33-J35)*60)</f>
        <v>48.726478472510522</v>
      </c>
      <c r="M35" s="91"/>
      <c r="N35" s="10"/>
      <c r="O35" s="1"/>
      <c r="P35" s="61" t="s">
        <v>206</v>
      </c>
      <c r="Q35" s="62"/>
      <c r="R35" s="62"/>
      <c r="S35" s="62"/>
      <c r="T35" s="63"/>
      <c r="U35" s="114">
        <v>45173</v>
      </c>
      <c r="V35" s="114"/>
      <c r="W35" s="114"/>
      <c r="X35" s="114"/>
      <c r="Y35" s="114"/>
      <c r="Z35" s="114"/>
      <c r="AA35" s="114"/>
      <c r="AB35" s="114"/>
      <c r="AC35" s="115"/>
      <c r="AL35" s="3"/>
      <c r="AN35" s="105" t="s">
        <v>207</v>
      </c>
      <c r="AO35" s="106"/>
      <c r="AP35" s="106"/>
      <c r="AQ35" s="106"/>
      <c r="AR35" s="107"/>
      <c r="AS35" s="96">
        <v>55</v>
      </c>
      <c r="AT35" s="96"/>
      <c r="AU35" s="96"/>
      <c r="AV35" s="98">
        <v>34.4</v>
      </c>
      <c r="AW35" s="98"/>
      <c r="AX35" s="98"/>
      <c r="AY35" s="92" t="s">
        <v>118</v>
      </c>
      <c r="AZ35" s="93"/>
    </row>
    <row r="36" spans="2:69" ht="12.75" customHeight="1">
      <c r="B36" s="83" t="s">
        <v>158</v>
      </c>
      <c r="C36" s="84"/>
      <c r="D36" s="84"/>
      <c r="E36" s="84"/>
      <c r="F36" s="85"/>
      <c r="G36" s="86">
        <f>IF('TABLE (observations)'!AK34&lt;0,"",'TABLE (observations)'!AH34)</f>
        <v>3.1373184117020676</v>
      </c>
      <c r="H36" s="87"/>
      <c r="I36" s="88"/>
      <c r="J36" s="89">
        <f>IF('TABLE (observations)'!AK34&lt;0,"",INT(ABS('TABLE (observations)'!AK34)))</f>
        <v>27</v>
      </c>
      <c r="K36" s="90"/>
      <c r="L36" s="91">
        <f>IF('TABLE (observations)'!AK34&lt;0,"",('TABLE (observations)'!AK34-J36)*60)</f>
        <v>17.072372765661257</v>
      </c>
      <c r="M36" s="91"/>
      <c r="N36" s="10"/>
      <c r="P36" s="61"/>
      <c r="Q36" s="62"/>
      <c r="R36" s="62"/>
      <c r="S36" s="62"/>
      <c r="T36" s="63"/>
      <c r="U36" s="114"/>
      <c r="V36" s="114"/>
      <c r="W36" s="114"/>
      <c r="X36" s="114"/>
      <c r="Y36" s="114"/>
      <c r="Z36" s="114"/>
      <c r="AA36" s="114"/>
      <c r="AB36" s="114"/>
      <c r="AC36" s="115"/>
      <c r="AN36" s="108"/>
      <c r="AO36" s="109"/>
      <c r="AP36" s="109"/>
      <c r="AQ36" s="109"/>
      <c r="AR36" s="110"/>
      <c r="AS36" s="97"/>
      <c r="AT36" s="97"/>
      <c r="AU36" s="97"/>
      <c r="AV36" s="99"/>
      <c r="AW36" s="99"/>
      <c r="AX36" s="99"/>
      <c r="AY36" s="94"/>
      <c r="AZ36" s="95"/>
    </row>
    <row r="37" spans="2:69" ht="12.75" customHeight="1">
      <c r="B37" s="83" t="s">
        <v>159</v>
      </c>
      <c r="C37" s="84"/>
      <c r="D37" s="84"/>
      <c r="E37" s="84"/>
      <c r="F37" s="85"/>
      <c r="G37" s="86">
        <f>IF('TABLE (observations)'!AK35&lt;0,"",'TABLE (observations)'!AH35)</f>
        <v>73.052208186957159</v>
      </c>
      <c r="H37" s="87"/>
      <c r="I37" s="88"/>
      <c r="J37" s="89">
        <f>IF('TABLE (observations)'!AK35&lt;0,"",INT(ABS('TABLE (observations)'!AK35)))</f>
        <v>23</v>
      </c>
      <c r="K37" s="90"/>
      <c r="L37" s="91">
        <f>IF('TABLE (observations)'!AK35&lt;0,"",('TABLE (observations)'!AK35-J37)*60)</f>
        <v>25.252091183832022</v>
      </c>
      <c r="M37" s="91"/>
      <c r="N37" s="10"/>
      <c r="P37" s="61" t="s">
        <v>208</v>
      </c>
      <c r="Q37" s="62"/>
      <c r="R37" s="62"/>
      <c r="S37" s="62"/>
      <c r="T37" s="63"/>
      <c r="U37" s="100">
        <v>0</v>
      </c>
      <c r="V37" s="100"/>
      <c r="W37" s="100"/>
      <c r="X37" s="101">
        <v>10</v>
      </c>
      <c r="Y37" s="101"/>
      <c r="Z37" s="101"/>
      <c r="AA37" s="102">
        <v>0</v>
      </c>
      <c r="AB37" s="102"/>
      <c r="AC37" s="103"/>
      <c r="AN37" s="111" t="s">
        <v>209</v>
      </c>
      <c r="AO37" s="112"/>
      <c r="AP37" s="112"/>
      <c r="AQ37" s="112"/>
      <c r="AR37" s="113"/>
      <c r="AS37" s="104">
        <v>6</v>
      </c>
      <c r="AT37" s="104"/>
      <c r="AU37" s="104"/>
      <c r="AV37" s="99">
        <v>47</v>
      </c>
      <c r="AW37" s="99"/>
      <c r="AX37" s="99"/>
      <c r="AY37" s="95" t="s">
        <v>25</v>
      </c>
      <c r="AZ37" s="95"/>
    </row>
    <row r="38" spans="2:69" ht="12.75" customHeight="1">
      <c r="B38" s="83" t="s">
        <v>160</v>
      </c>
      <c r="C38" s="84"/>
      <c r="D38" s="84"/>
      <c r="E38" s="84"/>
      <c r="F38" s="85"/>
      <c r="G38" s="86">
        <f>IF('TABLE (observations)'!AK36&lt;0,"",'TABLE (observations)'!AH36)</f>
        <v>301.38221905392857</v>
      </c>
      <c r="H38" s="87"/>
      <c r="I38" s="88"/>
      <c r="J38" s="89">
        <f>IF('TABLE (observations)'!AK36&lt;0,"",INT(ABS('TABLE (observations)'!AK36)))</f>
        <v>43</v>
      </c>
      <c r="K38" s="90"/>
      <c r="L38" s="91">
        <f>IF('TABLE (observations)'!AK36&lt;0,"",('TABLE (observations)'!AK36-J38)*60)</f>
        <v>39.722272405445835</v>
      </c>
      <c r="M38" s="91"/>
      <c r="N38" s="10"/>
      <c r="P38" s="61"/>
      <c r="Q38" s="62"/>
      <c r="R38" s="62"/>
      <c r="S38" s="62"/>
      <c r="T38" s="63"/>
      <c r="U38" s="100"/>
      <c r="V38" s="100"/>
      <c r="W38" s="100"/>
      <c r="X38" s="101"/>
      <c r="Y38" s="101"/>
      <c r="Z38" s="101"/>
      <c r="AA38" s="102"/>
      <c r="AB38" s="102"/>
      <c r="AC38" s="103"/>
      <c r="AN38" s="108"/>
      <c r="AO38" s="109"/>
      <c r="AP38" s="109"/>
      <c r="AQ38" s="109"/>
      <c r="AR38" s="110"/>
      <c r="AS38" s="104"/>
      <c r="AT38" s="104"/>
      <c r="AU38" s="104"/>
      <c r="AV38" s="99"/>
      <c r="AW38" s="99"/>
      <c r="AX38" s="99"/>
      <c r="AY38" s="95"/>
      <c r="AZ38" s="95"/>
    </row>
    <row r="39" spans="2:69" ht="12.75" customHeight="1">
      <c r="B39" s="83" t="s">
        <v>161</v>
      </c>
      <c r="C39" s="84"/>
      <c r="D39" s="84"/>
      <c r="E39" s="84"/>
      <c r="F39" s="85"/>
      <c r="G39" s="86">
        <f>IF('TABLE (observations)'!AK37&lt;0,"",'TABLE (observations)'!AH37)</f>
        <v>214.08579625743738</v>
      </c>
      <c r="H39" s="87"/>
      <c r="I39" s="88"/>
      <c r="J39" s="89">
        <f>IF('TABLE (observations)'!AK37&lt;0,"",INT(ABS('TABLE (observations)'!AK37)))</f>
        <v>40</v>
      </c>
      <c r="K39" s="90"/>
      <c r="L39" s="91">
        <f>IF('TABLE (observations)'!AK37&lt;0,"",('TABLE (observations)'!AK37-J39)*60)</f>
        <v>6.7370892297174123</v>
      </c>
      <c r="M39" s="91"/>
      <c r="N39" s="10"/>
      <c r="Z39" s="2"/>
      <c r="AA39" s="2"/>
    </row>
    <row r="40" spans="2:69" ht="12.75" customHeight="1">
      <c r="B40" s="83" t="s">
        <v>162</v>
      </c>
      <c r="C40" s="84"/>
      <c r="D40" s="84"/>
      <c r="E40" s="84"/>
      <c r="F40" s="85"/>
      <c r="G40" s="86">
        <f>IF('TABLE (observations)'!AK38&lt;0,"",'TABLE (observations)'!AH38)</f>
        <v>186.52214640651061</v>
      </c>
      <c r="H40" s="87"/>
      <c r="I40" s="88"/>
      <c r="J40" s="89">
        <f>IF('TABLE (observations)'!AK38&lt;0,"",INT(ABS('TABLE (observations)'!AK38)))</f>
        <v>4</v>
      </c>
      <c r="K40" s="90"/>
      <c r="L40" s="91">
        <f>IF('TABLE (observations)'!AK38&lt;0,"",('TABLE (observations)'!AK38-J40)*60)</f>
        <v>41.087337319855436</v>
      </c>
      <c r="M40" s="91"/>
      <c r="N40" s="10"/>
      <c r="P40" s="118" t="s">
        <v>210</v>
      </c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 t="s">
        <v>211</v>
      </c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 t="s">
        <v>212</v>
      </c>
      <c r="AO40" s="118"/>
      <c r="AP40" s="118"/>
      <c r="AQ40" s="118"/>
      <c r="AR40" s="118"/>
      <c r="AS40" s="118" t="s">
        <v>213</v>
      </c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 t="s">
        <v>214</v>
      </c>
      <c r="BF40" s="118"/>
      <c r="BG40" s="118"/>
      <c r="BH40" s="118"/>
      <c r="BI40" s="118" t="s">
        <v>215</v>
      </c>
      <c r="BJ40" s="118"/>
      <c r="BK40" s="118"/>
      <c r="BL40" s="118"/>
      <c r="BM40" s="118"/>
      <c r="BN40" s="118"/>
      <c r="BO40" s="118"/>
      <c r="BP40" s="118"/>
    </row>
    <row r="41" spans="2:69" ht="12.75" customHeight="1">
      <c r="B41" s="83" t="s">
        <v>163</v>
      </c>
      <c r="C41" s="84"/>
      <c r="D41" s="84"/>
      <c r="E41" s="84"/>
      <c r="F41" s="85"/>
      <c r="G41" s="86" t="str">
        <f>IF('TABLE (observations)'!AK39&lt;0,"",'TABLE (observations)'!AH39)</f>
        <v/>
      </c>
      <c r="H41" s="87"/>
      <c r="I41" s="88"/>
      <c r="J41" s="89" t="str">
        <f>IF('TABLE (observations)'!AK39&lt;0,"",INT(ABS('TABLE (observations)'!AK39)))</f>
        <v/>
      </c>
      <c r="K41" s="90"/>
      <c r="L41" s="91" t="str">
        <f>IF('TABLE (observations)'!AK39&lt;0,"",('TABLE (observations)'!AK39-J41)*60)</f>
        <v/>
      </c>
      <c r="M41" s="91"/>
      <c r="N41" s="10"/>
      <c r="P41" s="119" t="s">
        <v>216</v>
      </c>
      <c r="Q41" s="119"/>
      <c r="R41" s="119"/>
      <c r="S41" s="119"/>
      <c r="T41" s="119" t="s">
        <v>217</v>
      </c>
      <c r="U41" s="119"/>
      <c r="V41" s="119"/>
      <c r="W41" s="119"/>
      <c r="X41" s="119" t="s">
        <v>218</v>
      </c>
      <c r="Y41" s="119"/>
      <c r="Z41" s="119"/>
      <c r="AA41" s="119"/>
      <c r="AB41" s="119" t="s">
        <v>219</v>
      </c>
      <c r="AC41" s="119"/>
      <c r="AD41" s="119"/>
      <c r="AE41" s="119"/>
      <c r="AF41" s="119" t="s">
        <v>216</v>
      </c>
      <c r="AG41" s="119"/>
      <c r="AH41" s="119"/>
      <c r="AI41" s="119"/>
      <c r="AJ41" s="119" t="s">
        <v>217</v>
      </c>
      <c r="AK41" s="119"/>
      <c r="AL41" s="119"/>
      <c r="AM41" s="119"/>
      <c r="AN41" s="119"/>
      <c r="AO41" s="119"/>
      <c r="AP41" s="119"/>
      <c r="AQ41" s="119"/>
      <c r="AR41" s="119"/>
      <c r="AS41" s="119" t="s">
        <v>216</v>
      </c>
      <c r="AT41" s="119"/>
      <c r="AU41" s="119"/>
      <c r="AV41" s="119"/>
      <c r="AW41" s="119" t="s">
        <v>217</v>
      </c>
      <c r="AX41" s="119"/>
      <c r="AY41" s="119"/>
      <c r="AZ41" s="119"/>
      <c r="BA41" s="119" t="s">
        <v>218</v>
      </c>
      <c r="BB41" s="119"/>
      <c r="BC41" s="119"/>
      <c r="BD41" s="119"/>
      <c r="BE41" s="119"/>
      <c r="BF41" s="119"/>
      <c r="BG41" s="119"/>
      <c r="BH41" s="119"/>
      <c r="BI41" s="119" t="s">
        <v>217</v>
      </c>
      <c r="BJ41" s="119"/>
      <c r="BK41" s="119"/>
      <c r="BL41" s="119"/>
      <c r="BM41" s="119" t="s">
        <v>218</v>
      </c>
      <c r="BN41" s="119"/>
      <c r="BO41" s="119"/>
      <c r="BP41" s="119"/>
      <c r="BQ41" s="9"/>
    </row>
    <row r="42" spans="2:69" ht="12.75" customHeight="1">
      <c r="B42" s="83" t="s">
        <v>164</v>
      </c>
      <c r="C42" s="84"/>
      <c r="D42" s="84"/>
      <c r="E42" s="84"/>
      <c r="F42" s="85"/>
      <c r="G42" s="86" t="str">
        <f>IF('TABLE (observations)'!AK40&lt;0,"",'TABLE (observations)'!AH40)</f>
        <v/>
      </c>
      <c r="H42" s="87"/>
      <c r="I42" s="88"/>
      <c r="J42" s="89" t="str">
        <f>IF('TABLE (observations)'!AK40&lt;0,"",INT(ABS('TABLE (observations)'!AK40)))</f>
        <v/>
      </c>
      <c r="K42" s="90"/>
      <c r="L42" s="91" t="str">
        <f>IF('TABLE (observations)'!AK40&lt;0,"",('TABLE (observations)'!AK40-J42)*60)</f>
        <v/>
      </c>
      <c r="M42" s="91"/>
      <c r="N42" s="10"/>
      <c r="P42" s="120">
        <v>122</v>
      </c>
      <c r="Q42" s="120"/>
      <c r="R42" s="120"/>
      <c r="S42" s="120"/>
      <c r="T42" s="120">
        <v>123</v>
      </c>
      <c r="U42" s="120"/>
      <c r="V42" s="120"/>
      <c r="W42" s="120"/>
      <c r="X42" s="121">
        <f>P42+AS42</f>
        <v>121.06462459099367</v>
      </c>
      <c r="Y42" s="121"/>
      <c r="Z42" s="121"/>
      <c r="AA42" s="121"/>
      <c r="AB42" s="121">
        <f>AC31</f>
        <v>244.06462459099367</v>
      </c>
      <c r="AC42" s="121"/>
      <c r="AD42" s="121"/>
      <c r="AE42" s="121"/>
      <c r="AF42" s="120">
        <v>245</v>
      </c>
      <c r="AG42" s="120"/>
      <c r="AH42" s="120"/>
      <c r="AI42" s="120"/>
      <c r="AJ42" s="121">
        <f>AB42-AW42</f>
        <v>246</v>
      </c>
      <c r="AK42" s="121"/>
      <c r="AL42" s="121"/>
      <c r="AM42" s="121"/>
      <c r="AN42" s="122" t="s">
        <v>145</v>
      </c>
      <c r="AO42" s="122"/>
      <c r="AP42" s="122"/>
      <c r="AQ42" s="122"/>
      <c r="AR42" s="122"/>
      <c r="AS42" s="116">
        <f>AB42-AF42</f>
        <v>-0.93537540900632621</v>
      </c>
      <c r="AT42" s="116"/>
      <c r="AU42" s="116"/>
      <c r="AV42" s="116"/>
      <c r="AW42" s="116">
        <f>X42-T42</f>
        <v>-1.9353754090063262</v>
      </c>
      <c r="AX42" s="116"/>
      <c r="AY42" s="116"/>
      <c r="AZ42" s="116"/>
      <c r="BA42" s="116"/>
      <c r="BB42" s="116"/>
      <c r="BC42" s="116"/>
      <c r="BD42" s="116"/>
      <c r="BE42" s="117">
        <v>-2</v>
      </c>
      <c r="BF42" s="117"/>
      <c r="BG42" s="117"/>
      <c r="BH42" s="117"/>
      <c r="BI42" s="116">
        <f>AW42-BE42</f>
        <v>6.4624590993673792E-2</v>
      </c>
      <c r="BJ42" s="116"/>
      <c r="BK42" s="116"/>
      <c r="BL42" s="116"/>
      <c r="BM42" s="116"/>
      <c r="BN42" s="116"/>
      <c r="BO42" s="116"/>
      <c r="BP42" s="116"/>
      <c r="BQ42" s="9"/>
    </row>
    <row r="43" spans="2:69" ht="12.75" customHeight="1">
      <c r="B43" s="83" t="s">
        <v>165</v>
      </c>
      <c r="C43" s="84"/>
      <c r="D43" s="84"/>
      <c r="E43" s="84"/>
      <c r="F43" s="85"/>
      <c r="G43" s="86" t="str">
        <f>IF('TABLE (observations)'!AK41&lt;0,"",'TABLE (observations)'!AH41)</f>
        <v/>
      </c>
      <c r="H43" s="87"/>
      <c r="I43" s="88"/>
      <c r="J43" s="89" t="str">
        <f>IF('TABLE (observations)'!AK41&lt;0,"",INT(ABS('TABLE (observations)'!AK41)))</f>
        <v/>
      </c>
      <c r="K43" s="90"/>
      <c r="L43" s="91" t="str">
        <f>IF('TABLE (observations)'!AK41&lt;0,"",('TABLE (observations)'!AK41-J43)*60)</f>
        <v/>
      </c>
      <c r="M43" s="91"/>
      <c r="N43" s="10"/>
      <c r="P43" s="120"/>
      <c r="Q43" s="120"/>
      <c r="R43" s="120"/>
      <c r="S43" s="120"/>
      <c r="T43" s="120"/>
      <c r="U43" s="120"/>
      <c r="V43" s="120"/>
      <c r="W43" s="120"/>
      <c r="X43" s="121"/>
      <c r="Y43" s="121"/>
      <c r="Z43" s="121"/>
      <c r="AA43" s="121"/>
      <c r="AB43" s="121"/>
      <c r="AC43" s="121"/>
      <c r="AD43" s="121"/>
      <c r="AE43" s="121"/>
      <c r="AF43" s="120"/>
      <c r="AG43" s="120"/>
      <c r="AH43" s="120"/>
      <c r="AI43" s="120"/>
      <c r="AJ43" s="121"/>
      <c r="AK43" s="121"/>
      <c r="AL43" s="121"/>
      <c r="AM43" s="121"/>
      <c r="AN43" s="122"/>
      <c r="AO43" s="122"/>
      <c r="AP43" s="122"/>
      <c r="AQ43" s="122"/>
      <c r="AR43" s="122"/>
      <c r="AS43" s="116"/>
      <c r="AT43" s="116"/>
      <c r="AU43" s="116"/>
      <c r="AV43" s="116"/>
      <c r="AW43" s="116"/>
      <c r="AX43" s="116"/>
      <c r="AY43" s="116"/>
      <c r="AZ43" s="116"/>
      <c r="BA43" s="116"/>
      <c r="BB43" s="116"/>
      <c r="BC43" s="116"/>
      <c r="BD43" s="116"/>
      <c r="BE43" s="117"/>
      <c r="BF43" s="117"/>
      <c r="BG43" s="117"/>
      <c r="BH43" s="117"/>
      <c r="BI43" s="116"/>
      <c r="BJ43" s="116"/>
      <c r="BK43" s="116"/>
      <c r="BL43" s="116"/>
      <c r="BM43" s="116"/>
      <c r="BN43" s="116"/>
      <c r="BO43" s="116"/>
      <c r="BP43" s="116"/>
    </row>
    <row r="44" spans="2:69" ht="12.75" customHeight="1">
      <c r="B44" s="83" t="s">
        <v>166</v>
      </c>
      <c r="C44" s="84"/>
      <c r="D44" s="84"/>
      <c r="E44" s="84"/>
      <c r="F44" s="85"/>
      <c r="G44" s="86">
        <f>IF('TABLE (observations)'!AK42&lt;0,"",'TABLE (observations)'!AH42)</f>
        <v>120.994506627503</v>
      </c>
      <c r="H44" s="87"/>
      <c r="I44" s="88"/>
      <c r="J44" s="89">
        <f>IF('TABLE (observations)'!AK42&lt;0,"",INT(ABS('TABLE (observations)'!AK42)))</f>
        <v>46</v>
      </c>
      <c r="K44" s="90"/>
      <c r="L44" s="91">
        <f>IF('TABLE (observations)'!AK42&lt;0,"",('TABLE (observations)'!AK42-J44)*60)</f>
        <v>38.868192042452563</v>
      </c>
      <c r="M44" s="91"/>
      <c r="N44" s="10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</row>
    <row r="45" spans="2:69" ht="12.75" customHeight="1">
      <c r="B45" s="83" t="s">
        <v>4</v>
      </c>
      <c r="C45" s="84"/>
      <c r="D45" s="84"/>
      <c r="E45" s="84"/>
      <c r="F45" s="85"/>
      <c r="G45" s="86">
        <f>IF('TABLE (observations)'!AK43&lt;0,"",'TABLE (observations)'!AH43)</f>
        <v>114.79351828858766</v>
      </c>
      <c r="H45" s="87"/>
      <c r="I45" s="88"/>
      <c r="J45" s="89">
        <f>IF('TABLE (observations)'!AK43&lt;0,"",INT(ABS('TABLE (observations)'!AK43)))</f>
        <v>33</v>
      </c>
      <c r="K45" s="90"/>
      <c r="L45" s="91">
        <f>IF('TABLE (observations)'!AK43&lt;0,"",('TABLE (observations)'!AK43-J45)*60)</f>
        <v>52.125512076268876</v>
      </c>
      <c r="M45" s="91"/>
      <c r="N45" s="10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28"/>
      <c r="AC45" s="28"/>
      <c r="AD45" s="28"/>
      <c r="AE45" s="28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</row>
    <row r="46" spans="2:69" ht="12.75" customHeight="1">
      <c r="B46" s="83" t="s">
        <v>167</v>
      </c>
      <c r="C46" s="84"/>
      <c r="D46" s="84"/>
      <c r="E46" s="84"/>
      <c r="F46" s="85"/>
      <c r="G46" s="86" t="str">
        <f>IF('TABLE (observations)'!AK44&lt;0,"",'TABLE (observations)'!AH44)</f>
        <v/>
      </c>
      <c r="H46" s="87"/>
      <c r="I46" s="88"/>
      <c r="J46" s="89" t="str">
        <f>IF('TABLE (observations)'!AK44&lt;0,"",INT(ABS('TABLE (observations)'!AK44)))</f>
        <v/>
      </c>
      <c r="K46" s="90"/>
      <c r="L46" s="91" t="str">
        <f>IF('TABLE (observations)'!AK44&lt;0,"",('TABLE (observations)'!AK44-J46)*60)</f>
        <v/>
      </c>
      <c r="M46" s="91"/>
      <c r="N46" s="10"/>
      <c r="Z46" s="2"/>
      <c r="AA46" s="2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</row>
    <row r="47" spans="2:69" ht="12.75" customHeight="1">
      <c r="B47" s="83" t="s">
        <v>168</v>
      </c>
      <c r="C47" s="84"/>
      <c r="D47" s="84"/>
      <c r="E47" s="84"/>
      <c r="F47" s="85"/>
      <c r="G47" s="86">
        <f>IF('TABLE (observations)'!AK45&lt;0,"",'TABLE (observations)'!AH45)</f>
        <v>342.73962584238086</v>
      </c>
      <c r="H47" s="87"/>
      <c r="I47" s="88"/>
      <c r="J47" s="89">
        <f>IF('TABLE (observations)'!AK45&lt;0,"",INT(ABS('TABLE (observations)'!AK45)))</f>
        <v>44</v>
      </c>
      <c r="K47" s="90"/>
      <c r="L47" s="91">
        <f>IF('TABLE (observations)'!AK45&lt;0,"",('TABLE (observations)'!AK45-J47)*60)</f>
        <v>2.8910503050401815</v>
      </c>
      <c r="M47" s="91"/>
      <c r="N47" s="10"/>
      <c r="Z47" s="2"/>
      <c r="AA47" s="2"/>
    </row>
    <row r="48" spans="2:69" ht="12.75" customHeight="1">
      <c r="B48" s="83" t="s">
        <v>169</v>
      </c>
      <c r="C48" s="84"/>
      <c r="D48" s="84"/>
      <c r="E48" s="84"/>
      <c r="F48" s="85"/>
      <c r="G48" s="86">
        <f>IF('TABLE (observations)'!AK46&lt;0,"",'TABLE (observations)'!AH46)</f>
        <v>188.41152499022596</v>
      </c>
      <c r="H48" s="87"/>
      <c r="I48" s="88"/>
      <c r="J48" s="89">
        <f>IF('TABLE (observations)'!AK46&lt;0,"",INT(ABS('TABLE (observations)'!AK46)))</f>
        <v>49</v>
      </c>
      <c r="K48" s="90"/>
      <c r="L48" s="91">
        <f>IF('TABLE (observations)'!AK46&lt;0,"",('TABLE (observations)'!AK46-J48)*60)</f>
        <v>31.405802726281991</v>
      </c>
      <c r="M48" s="91"/>
      <c r="N48" s="10"/>
      <c r="Z48" s="2"/>
      <c r="AA48" s="2"/>
      <c r="AR48" s="31"/>
      <c r="AS48" s="31"/>
      <c r="AT48" s="32"/>
      <c r="AU48" s="32"/>
      <c r="AV48" s="32"/>
      <c r="AW48" s="32"/>
      <c r="AX48" s="32"/>
      <c r="AY48" s="32"/>
      <c r="AZ48" s="32"/>
      <c r="BA48" s="32"/>
      <c r="BB48" s="32"/>
      <c r="BC48" s="32"/>
      <c r="BD48" s="32"/>
      <c r="BE48" s="31"/>
      <c r="BF48" s="31"/>
      <c r="BG48" s="31"/>
      <c r="BH48" s="31"/>
      <c r="BI48" s="31"/>
      <c r="BJ48" s="31"/>
      <c r="BK48" s="31"/>
      <c r="BL48" s="31"/>
      <c r="BM48" s="31"/>
      <c r="BN48" s="31"/>
      <c r="BO48" s="31"/>
      <c r="BP48" s="31"/>
    </row>
    <row r="49" spans="2:68" ht="12.75" customHeight="1">
      <c r="B49" s="83" t="s">
        <v>2</v>
      </c>
      <c r="C49" s="84"/>
      <c r="D49" s="84"/>
      <c r="E49" s="84"/>
      <c r="F49" s="85"/>
      <c r="G49" s="86" t="str">
        <f>IF('TABLE (observations)'!AK47&lt;0,"",'TABLE (observations)'!AH47)</f>
        <v/>
      </c>
      <c r="H49" s="87"/>
      <c r="I49" s="88"/>
      <c r="J49" s="89" t="str">
        <f>IF('TABLE (observations)'!AK47&lt;0,"",INT(ABS('TABLE (observations)'!AK47)))</f>
        <v/>
      </c>
      <c r="K49" s="90"/>
      <c r="L49" s="91" t="str">
        <f>IF('TABLE (observations)'!AK47&lt;0,"",('TABLE (observations)'!AK47-J49)*60)</f>
        <v/>
      </c>
      <c r="M49" s="91"/>
      <c r="N49" s="10"/>
      <c r="Z49" s="2"/>
      <c r="AA49" s="2"/>
      <c r="AR49" s="31"/>
      <c r="AS49" s="31"/>
      <c r="AT49" s="32"/>
      <c r="AU49" s="32"/>
      <c r="AV49" s="32"/>
      <c r="AW49" s="32"/>
      <c r="AX49" s="32"/>
      <c r="AY49" s="32"/>
      <c r="AZ49" s="32"/>
      <c r="BA49" s="32"/>
      <c r="BB49" s="32"/>
      <c r="BC49" s="32"/>
      <c r="BD49" s="32"/>
      <c r="BE49" s="31"/>
      <c r="BF49" s="31"/>
      <c r="BG49" s="31"/>
      <c r="BH49" s="31"/>
      <c r="BI49" s="31"/>
      <c r="BJ49" s="31"/>
      <c r="BK49" s="31"/>
      <c r="BL49" s="31"/>
      <c r="BM49" s="31"/>
      <c r="BN49" s="31"/>
      <c r="BO49" s="31"/>
      <c r="BP49" s="31"/>
    </row>
    <row r="50" spans="2:68" ht="12.75" customHeight="1">
      <c r="B50" s="83" t="s">
        <v>170</v>
      </c>
      <c r="C50" s="84"/>
      <c r="D50" s="84"/>
      <c r="E50" s="84"/>
      <c r="F50" s="85"/>
      <c r="G50" s="86">
        <f>IF('TABLE (observations)'!AK48&lt;0,"",'TABLE (observations)'!AH48)</f>
        <v>118.9952800219032</v>
      </c>
      <c r="H50" s="87"/>
      <c r="I50" s="88"/>
      <c r="J50" s="89">
        <f>IF('TABLE (observations)'!AK48&lt;0,"",INT(ABS('TABLE (observations)'!AK48)))</f>
        <v>23</v>
      </c>
      <c r="K50" s="90"/>
      <c r="L50" s="91">
        <f>IF('TABLE (observations)'!AK48&lt;0,"",('TABLE (observations)'!AK48-J50)*60)</f>
        <v>11.182110889525063</v>
      </c>
      <c r="M50" s="91"/>
      <c r="N50" s="10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</row>
    <row r="51" spans="2:68" ht="12.75" customHeight="1">
      <c r="B51" s="83" t="s">
        <v>171</v>
      </c>
      <c r="C51" s="84"/>
      <c r="D51" s="84"/>
      <c r="E51" s="84"/>
      <c r="F51" s="85"/>
      <c r="G51" s="86" t="str">
        <f>IF('TABLE (observations)'!AK49&lt;0,"",'TABLE (observations)'!AH49)</f>
        <v/>
      </c>
      <c r="H51" s="87"/>
      <c r="I51" s="88"/>
      <c r="J51" s="89" t="str">
        <f>IF('TABLE (observations)'!AK49&lt;0,"",INT(ABS('TABLE (observations)'!AK49)))</f>
        <v/>
      </c>
      <c r="K51" s="90"/>
      <c r="L51" s="91" t="str">
        <f>IF('TABLE (observations)'!AK49&lt;0,"",('TABLE (observations)'!AK49-J51)*60)</f>
        <v/>
      </c>
      <c r="M51" s="91"/>
      <c r="N51" s="10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33"/>
      <c r="BN51" s="33"/>
      <c r="BO51" s="9"/>
      <c r="BP51" s="9"/>
    </row>
    <row r="52" spans="2:68" ht="12.75" customHeight="1">
      <c r="B52" s="83" t="s">
        <v>172</v>
      </c>
      <c r="C52" s="84"/>
      <c r="D52" s="84"/>
      <c r="E52" s="84"/>
      <c r="F52" s="85"/>
      <c r="G52" s="86" t="str">
        <f>IF('TABLE (observations)'!AK50&lt;0,"",'TABLE (observations)'!AH50)</f>
        <v/>
      </c>
      <c r="H52" s="87"/>
      <c r="I52" s="88"/>
      <c r="J52" s="89" t="str">
        <f>IF('TABLE (observations)'!AK50&lt;0,"",INT(ABS('TABLE (observations)'!AK50)))</f>
        <v/>
      </c>
      <c r="K52" s="90"/>
      <c r="L52" s="91" t="str">
        <f>IF('TABLE (observations)'!AK50&lt;0,"",('TABLE (observations)'!AK50-J52)*60)</f>
        <v/>
      </c>
      <c r="M52" s="91"/>
      <c r="N52" s="10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33"/>
      <c r="BN52" s="33"/>
      <c r="BO52" s="9"/>
      <c r="BP52" s="9"/>
    </row>
    <row r="53" spans="2:68" ht="12.75" customHeight="1">
      <c r="B53" s="83" t="s">
        <v>173</v>
      </c>
      <c r="C53" s="84"/>
      <c r="D53" s="84"/>
      <c r="E53" s="84"/>
      <c r="F53" s="85"/>
      <c r="G53" s="86">
        <f>IF('TABLE (observations)'!AK51&lt;0,"",'TABLE (observations)'!AH51)</f>
        <v>73.742766983685797</v>
      </c>
      <c r="H53" s="87"/>
      <c r="I53" s="88"/>
      <c r="J53" s="89">
        <f>IF('TABLE (observations)'!AK51&lt;0,"",INT(ABS('TABLE (observations)'!AK51)))</f>
        <v>54</v>
      </c>
      <c r="K53" s="90"/>
      <c r="L53" s="91">
        <f>IF('TABLE (observations)'!AK51&lt;0,"",('TABLE (observations)'!AK51-J53)*60)</f>
        <v>49.537359867977671</v>
      </c>
      <c r="M53" s="91"/>
      <c r="N53" s="10"/>
    </row>
    <row r="54" spans="2:68" ht="12.75" customHeight="1">
      <c r="B54" s="83" t="s">
        <v>174</v>
      </c>
      <c r="C54" s="84"/>
      <c r="D54" s="84"/>
      <c r="E54" s="84"/>
      <c r="F54" s="85"/>
      <c r="G54" s="86" t="str">
        <f>IF('TABLE (observations)'!AK52&lt;0,"",'TABLE (observations)'!AH52)</f>
        <v/>
      </c>
      <c r="H54" s="87"/>
      <c r="I54" s="88"/>
      <c r="J54" s="89" t="str">
        <f>IF('TABLE (observations)'!AK52&lt;0,"",INT(ABS('TABLE (observations)'!AK52)))</f>
        <v/>
      </c>
      <c r="K54" s="90"/>
      <c r="L54" s="91" t="str">
        <f>IF('TABLE (observations)'!AK52&lt;0,"",('TABLE (observations)'!AK52-J54)*60)</f>
        <v/>
      </c>
      <c r="M54" s="91"/>
      <c r="N54" s="10"/>
    </row>
    <row r="55" spans="2:68" ht="12.75" customHeight="1">
      <c r="B55" s="83" t="s">
        <v>175</v>
      </c>
      <c r="C55" s="84"/>
      <c r="D55" s="84"/>
      <c r="E55" s="84"/>
      <c r="F55" s="85"/>
      <c r="G55" s="86" t="str">
        <f>IF('TABLE (observations)'!AK53&lt;0,"",'TABLE (observations)'!AH53)</f>
        <v/>
      </c>
      <c r="H55" s="87"/>
      <c r="I55" s="88"/>
      <c r="J55" s="89" t="str">
        <f>IF('TABLE (observations)'!AK53&lt;0,"",INT(ABS('TABLE (observations)'!AK53)))</f>
        <v/>
      </c>
      <c r="K55" s="90"/>
      <c r="L55" s="91" t="str">
        <f>IF('TABLE (observations)'!AK53&lt;0,"",('TABLE (observations)'!AK53-J55)*60)</f>
        <v/>
      </c>
      <c r="M55" s="91"/>
      <c r="N55" s="10"/>
      <c r="Z55" s="2"/>
      <c r="AA55" s="2"/>
    </row>
    <row r="56" spans="2:68" ht="12.75" customHeight="1">
      <c r="B56" s="83" t="s">
        <v>176</v>
      </c>
      <c r="C56" s="84"/>
      <c r="D56" s="84"/>
      <c r="E56" s="84"/>
      <c r="F56" s="85"/>
      <c r="G56" s="86">
        <f>IF('TABLE (observations)'!AK54&lt;0,"",'TABLE (observations)'!AH54)</f>
        <v>47.045718092473386</v>
      </c>
      <c r="H56" s="87"/>
      <c r="I56" s="88"/>
      <c r="J56" s="89">
        <f>IF('TABLE (observations)'!AK54&lt;0,"",INT(ABS('TABLE (observations)'!AK54)))</f>
        <v>5</v>
      </c>
      <c r="K56" s="90"/>
      <c r="L56" s="91">
        <f>IF('TABLE (observations)'!AK54&lt;0,"",('TABLE (observations)'!AK54-J56)*60)</f>
        <v>58.314048126178655</v>
      </c>
      <c r="M56" s="91"/>
      <c r="N56" s="10"/>
      <c r="Z56" s="2"/>
      <c r="AA56" s="2"/>
    </row>
    <row r="57" spans="2:68" ht="12.75" customHeight="1">
      <c r="B57" s="83" t="s">
        <v>177</v>
      </c>
      <c r="C57" s="84"/>
      <c r="D57" s="84"/>
      <c r="E57" s="84"/>
      <c r="F57" s="85"/>
      <c r="G57" s="86" t="str">
        <f>IF('TABLE (observations)'!AK55&lt;0,"",'TABLE (observations)'!AH55)</f>
        <v/>
      </c>
      <c r="H57" s="87"/>
      <c r="I57" s="88"/>
      <c r="J57" s="89" t="str">
        <f>IF('TABLE (observations)'!AK55&lt;0,"",INT(ABS('TABLE (observations)'!AK55)))</f>
        <v/>
      </c>
      <c r="K57" s="90"/>
      <c r="L57" s="91" t="str">
        <f>IF('TABLE (observations)'!AK55&lt;0,"",('TABLE (observations)'!AK55-J57)*60)</f>
        <v/>
      </c>
      <c r="M57" s="91"/>
      <c r="N57" s="10"/>
      <c r="Z57" s="2"/>
      <c r="AA57" s="2"/>
    </row>
    <row r="58" spans="2:68" ht="12.75" customHeight="1">
      <c r="B58" s="83" t="s">
        <v>178</v>
      </c>
      <c r="C58" s="84"/>
      <c r="D58" s="84"/>
      <c r="E58" s="84"/>
      <c r="F58" s="85"/>
      <c r="G58" s="86">
        <f>IF('TABLE (observations)'!AK56&lt;0,"",'TABLE (observations)'!AH56)</f>
        <v>275.6387339474997</v>
      </c>
      <c r="H58" s="87"/>
      <c r="I58" s="88"/>
      <c r="J58" s="89">
        <f>IF('TABLE (observations)'!AK56&lt;0,"",INT(ABS('TABLE (observations)'!AK56)))</f>
        <v>11</v>
      </c>
      <c r="K58" s="90"/>
      <c r="L58" s="91">
        <f>IF('TABLE (observations)'!AK56&lt;0,"",('TABLE (observations)'!AK56-J58)*60)</f>
        <v>22.940207908077319</v>
      </c>
      <c r="M58" s="91"/>
      <c r="N58" s="10"/>
      <c r="Z58" s="2"/>
      <c r="AA58" s="2"/>
    </row>
    <row r="59" spans="2:68" ht="12.75" customHeight="1">
      <c r="B59" s="83" t="s">
        <v>179</v>
      </c>
      <c r="C59" s="84"/>
      <c r="D59" s="84"/>
      <c r="E59" s="84"/>
      <c r="F59" s="85"/>
      <c r="G59" s="86" t="str">
        <f>IF('TABLE (observations)'!AK57&lt;0,"",'TABLE (observations)'!AH57)</f>
        <v/>
      </c>
      <c r="H59" s="87"/>
      <c r="I59" s="88"/>
      <c r="J59" s="89" t="str">
        <f>IF('TABLE (observations)'!AK57&lt;0,"",INT(ABS('TABLE (observations)'!AK57)))</f>
        <v/>
      </c>
      <c r="K59" s="90"/>
      <c r="L59" s="91" t="str">
        <f>IF('TABLE (observations)'!AK57&lt;0,"",('TABLE (observations)'!AK57-J59)*60)</f>
        <v/>
      </c>
      <c r="M59" s="91"/>
      <c r="N59" s="10"/>
    </row>
    <row r="60" spans="2:68" ht="12.75" customHeight="1">
      <c r="B60" s="83" t="s">
        <v>180</v>
      </c>
      <c r="C60" s="84"/>
      <c r="D60" s="84"/>
      <c r="E60" s="84"/>
      <c r="F60" s="85"/>
      <c r="G60" s="86" t="str">
        <f>IF('TABLE (observations)'!AK58&lt;0,"",'TABLE (observations)'!AH58)</f>
        <v/>
      </c>
      <c r="H60" s="87"/>
      <c r="I60" s="88"/>
      <c r="J60" s="89" t="str">
        <f>IF('TABLE (observations)'!AK58&lt;0,"",INT(ABS('TABLE (observations)'!AK58)))</f>
        <v/>
      </c>
      <c r="K60" s="90"/>
      <c r="L60" s="91" t="str">
        <f>IF('TABLE (observations)'!AK58&lt;0,"",('TABLE (observations)'!AK58-J60)*60)</f>
        <v/>
      </c>
      <c r="M60" s="91"/>
      <c r="N60" s="10"/>
    </row>
    <row r="61" spans="2:68" ht="12.75" customHeight="1">
      <c r="B61" s="83" t="s">
        <v>181</v>
      </c>
      <c r="C61" s="84"/>
      <c r="D61" s="84"/>
      <c r="E61" s="84"/>
      <c r="F61" s="85"/>
      <c r="G61" s="86" t="str">
        <f>IF('TABLE (observations)'!AK59&lt;0,"",'TABLE (observations)'!AH59)</f>
        <v/>
      </c>
      <c r="H61" s="87"/>
      <c r="I61" s="88"/>
      <c r="J61" s="89" t="str">
        <f>IF('TABLE (observations)'!AK59&lt;0,"",INT(ABS('TABLE (observations)'!AK59)))</f>
        <v/>
      </c>
      <c r="K61" s="90"/>
      <c r="L61" s="91" t="str">
        <f>IF('TABLE (observations)'!AK59&lt;0,"",('TABLE (observations)'!AK59-J61)*60)</f>
        <v/>
      </c>
      <c r="M61" s="91"/>
      <c r="N61" s="10"/>
    </row>
    <row r="62" spans="2:68" ht="12.75" customHeight="1">
      <c r="B62" s="83" t="s">
        <v>182</v>
      </c>
      <c r="C62" s="84"/>
      <c r="D62" s="84"/>
      <c r="E62" s="84"/>
      <c r="F62" s="85"/>
      <c r="G62" s="86" t="str">
        <f>IF('TABLE (observations)'!AK60&lt;0,"",'TABLE (observations)'!AH60)</f>
        <v/>
      </c>
      <c r="H62" s="87"/>
      <c r="I62" s="88"/>
      <c r="J62" s="89" t="str">
        <f>IF('TABLE (observations)'!AK60&lt;0,"",INT(ABS('TABLE (observations)'!AK60)))</f>
        <v/>
      </c>
      <c r="K62" s="90"/>
      <c r="L62" s="91" t="str">
        <f>IF('TABLE (observations)'!AK60&lt;0,"",('TABLE (observations)'!AK60-J62)*60)</f>
        <v/>
      </c>
      <c r="M62" s="91"/>
      <c r="N62" s="10"/>
    </row>
    <row r="63" spans="2:68" ht="12.75" customHeight="1">
      <c r="B63" s="83" t="s">
        <v>190</v>
      </c>
      <c r="C63" s="84"/>
      <c r="D63" s="84"/>
      <c r="E63" s="84"/>
      <c r="F63" s="85"/>
      <c r="G63" s="86">
        <f>IF('TABLE (observations)'!AK61&lt;0,"",'TABLE (observations)'!AH61)</f>
        <v>197.12356508895445</v>
      </c>
      <c r="H63" s="87"/>
      <c r="I63" s="88"/>
      <c r="J63" s="89">
        <f>IF('TABLE (observations)'!AK61&lt;0,"",INT(ABS('TABLE (observations)'!AK61)))</f>
        <v>21</v>
      </c>
      <c r="K63" s="90"/>
      <c r="L63" s="91">
        <f>IF('TABLE (observations)'!AK61&lt;0,"",('TABLE (observations)'!AK61-J63)*60)</f>
        <v>4.3649409753199819</v>
      </c>
      <c r="M63" s="91"/>
      <c r="N63" s="10"/>
    </row>
    <row r="64" spans="2:68" ht="12.75" customHeight="1">
      <c r="B64" s="83" t="s">
        <v>183</v>
      </c>
      <c r="C64" s="84"/>
      <c r="D64" s="84"/>
      <c r="E64" s="84"/>
      <c r="F64" s="85"/>
      <c r="G64" s="86">
        <f>IF('TABLE (observations)'!AK62&lt;0,"",'TABLE (observations)'!AH62)</f>
        <v>76.311339994217619</v>
      </c>
      <c r="H64" s="87"/>
      <c r="I64" s="88"/>
      <c r="J64" s="89">
        <f>IF('TABLE (observations)'!AK62&lt;0,"",INT(ABS('TABLE (observations)'!AK62)))</f>
        <v>79</v>
      </c>
      <c r="K64" s="90"/>
      <c r="L64" s="91">
        <f>IF('TABLE (observations)'!AK62&lt;0,"",('TABLE (observations)'!AK62-J64)*60)</f>
        <v>47.012200171503764</v>
      </c>
      <c r="M64" s="91"/>
      <c r="N64" s="10"/>
    </row>
    <row r="65" spans="2:14" ht="12.75" customHeight="1">
      <c r="B65" s="83" t="s">
        <v>184</v>
      </c>
      <c r="C65" s="84"/>
      <c r="D65" s="84"/>
      <c r="E65" s="84"/>
      <c r="F65" s="85"/>
      <c r="G65" s="86" t="str">
        <f>IF('TABLE (observations)'!AK63&lt;0,"",'TABLE (observations)'!AH63)</f>
        <v/>
      </c>
      <c r="H65" s="87"/>
      <c r="I65" s="88"/>
      <c r="J65" s="89" t="str">
        <f>IF('TABLE (observations)'!AK63&lt;0,"",INT(ABS('TABLE (observations)'!AK63)))</f>
        <v/>
      </c>
      <c r="K65" s="90"/>
      <c r="L65" s="91" t="str">
        <f>IF('TABLE (observations)'!AK63&lt;0,"",('TABLE (observations)'!AK63-J65)*60)</f>
        <v/>
      </c>
      <c r="M65" s="91"/>
      <c r="N65" s="10"/>
    </row>
    <row r="66" spans="2:14" ht="12.75" customHeight="1">
      <c r="B66" s="83" t="s">
        <v>185</v>
      </c>
      <c r="C66" s="84"/>
      <c r="D66" s="84"/>
      <c r="E66" s="84"/>
      <c r="F66" s="85"/>
      <c r="G66" s="86" t="str">
        <f>IF('TABLE (observations)'!AK64&lt;0,"",'TABLE (observations)'!AH64)</f>
        <v/>
      </c>
      <c r="H66" s="87"/>
      <c r="I66" s="88"/>
      <c r="J66" s="89" t="str">
        <f>IF('TABLE (observations)'!AK64&lt;0,"",INT(ABS('TABLE (observations)'!AK64)))</f>
        <v/>
      </c>
      <c r="K66" s="90"/>
      <c r="L66" s="91" t="str">
        <f>IF('TABLE (observations)'!AK64&lt;0,"",('TABLE (observations)'!AK64-J66)*60)</f>
        <v/>
      </c>
      <c r="M66" s="91"/>
      <c r="N66" s="10"/>
    </row>
    <row r="67" spans="2:14" ht="12.75" customHeight="1">
      <c r="B67" s="83" t="s">
        <v>186</v>
      </c>
      <c r="C67" s="84"/>
      <c r="D67" s="84"/>
      <c r="E67" s="84"/>
      <c r="F67" s="85"/>
      <c r="G67" s="86" t="str">
        <f>IF('TABLE (observations)'!AK65&lt;0,"",'TABLE (observations)'!AH65)</f>
        <v/>
      </c>
      <c r="H67" s="87"/>
      <c r="I67" s="88"/>
      <c r="J67" s="89" t="str">
        <f>IF('TABLE (observations)'!AK65&lt;0,"",INT(ABS('TABLE (observations)'!AK65)))</f>
        <v/>
      </c>
      <c r="K67" s="90"/>
      <c r="L67" s="91" t="str">
        <f>IF('TABLE (observations)'!AK65&lt;0,"",('TABLE (observations)'!AK65-J67)*60)</f>
        <v/>
      </c>
      <c r="M67" s="91"/>
      <c r="N67" s="10"/>
    </row>
    <row r="68" spans="2:14" ht="12.75" customHeight="1">
      <c r="B68" s="83" t="s">
        <v>187</v>
      </c>
      <c r="C68" s="84"/>
      <c r="D68" s="84"/>
      <c r="E68" s="84"/>
      <c r="F68" s="85"/>
      <c r="G68" s="86" t="str">
        <f>IF('TABLE (observations)'!AK66&lt;0,"",'TABLE (observations)'!AH66)</f>
        <v/>
      </c>
      <c r="H68" s="87"/>
      <c r="I68" s="88"/>
      <c r="J68" s="89" t="str">
        <f>IF('TABLE (observations)'!AK66&lt;0,"",INT(ABS('TABLE (observations)'!AK66)))</f>
        <v/>
      </c>
      <c r="K68" s="90"/>
      <c r="L68" s="91" t="str">
        <f>IF('TABLE (observations)'!AK66&lt;0,"",('TABLE (observations)'!AK66-J68)*60)</f>
        <v/>
      </c>
      <c r="M68" s="91"/>
      <c r="N68" s="10"/>
    </row>
    <row r="69" spans="2:14" ht="12.75" customHeight="1">
      <c r="B69" s="83" t="s">
        <v>188</v>
      </c>
      <c r="C69" s="84"/>
      <c r="D69" s="84"/>
      <c r="E69" s="84"/>
      <c r="F69" s="85"/>
      <c r="G69" s="86">
        <f>IF('TABLE (observations)'!AK67&lt;0,"",'TABLE (observations)'!AH67)</f>
        <v>282.28827703776233</v>
      </c>
      <c r="H69" s="87"/>
      <c r="I69" s="88"/>
      <c r="J69" s="89">
        <f>IF('TABLE (observations)'!AK67&lt;0,"",INT(ABS('TABLE (observations)'!AK67)))</f>
        <v>40</v>
      </c>
      <c r="K69" s="90"/>
      <c r="L69" s="91">
        <f>IF('TABLE (observations)'!AK67&lt;0,"",('TABLE (observations)'!AK67-J69)*60)</f>
        <v>26.657605429154785</v>
      </c>
      <c r="M69" s="91"/>
      <c r="N69" s="10"/>
    </row>
    <row r="70" spans="2:14" ht="12.75" customHeight="1">
      <c r="B70" s="83" t="s">
        <v>3</v>
      </c>
      <c r="C70" s="84"/>
      <c r="D70" s="84"/>
      <c r="E70" s="84"/>
      <c r="F70" s="85"/>
      <c r="G70" s="86" t="str">
        <f>IF('TABLE (observations)'!AK68&lt;0,"",'TABLE (observations)'!AH68)</f>
        <v/>
      </c>
      <c r="H70" s="87"/>
      <c r="I70" s="88"/>
      <c r="J70" s="89" t="str">
        <f>IF('TABLE (observations)'!AK68&lt;0,"",INT(ABS('TABLE (observations)'!AK68)))</f>
        <v/>
      </c>
      <c r="K70" s="90"/>
      <c r="L70" s="91" t="str">
        <f>IF('TABLE (observations)'!AK68&lt;0,"",('TABLE (observations)'!AK68-J70)*60)</f>
        <v/>
      </c>
      <c r="M70" s="91"/>
      <c r="N70" s="10"/>
    </row>
    <row r="71" spans="2:14" ht="12.75" customHeight="1">
      <c r="B71" s="123" t="s">
        <v>189</v>
      </c>
      <c r="C71" s="124"/>
      <c r="D71" s="124"/>
      <c r="E71" s="124"/>
      <c r="F71" s="125"/>
      <c r="G71" s="126" t="str">
        <f>IF('TABLE (observations)'!AK69&lt;0,"",'TABLE (observations)'!AH69)</f>
        <v/>
      </c>
      <c r="H71" s="127"/>
      <c r="I71" s="128"/>
      <c r="J71" s="129" t="str">
        <f>IF('TABLE (observations)'!AK69&lt;0,"",INT(ABS('TABLE (observations)'!AK69)))</f>
        <v/>
      </c>
      <c r="K71" s="130"/>
      <c r="L71" s="131" t="str">
        <f>IF('TABLE (observations)'!AK69&lt;0,"",('TABLE (observations)'!AK69-J71)*60)</f>
        <v/>
      </c>
      <c r="M71" s="132"/>
      <c r="N71" s="10"/>
    </row>
    <row r="72" spans="2:14" ht="12.75" customHeight="1">
      <c r="N72" s="10"/>
    </row>
    <row r="73" spans="2:14" ht="12.75" customHeight="1">
      <c r="N73" s="10"/>
    </row>
    <row r="74" spans="2:14" ht="12.75" customHeight="1">
      <c r="N74" s="10"/>
    </row>
    <row r="104" spans="21:24" ht="12.75" customHeight="1">
      <c r="U104" s="1"/>
      <c r="V104" s="1"/>
      <c r="W104" s="1"/>
      <c r="X104" s="1"/>
    </row>
    <row r="105" spans="21:24" ht="12.75" customHeight="1">
      <c r="U105" s="1"/>
      <c r="V105" s="1"/>
      <c r="W105" s="1"/>
      <c r="X105" s="1"/>
    </row>
    <row r="106" spans="21:24" ht="12.75" customHeight="1">
      <c r="U106" s="1"/>
      <c r="V106" s="1"/>
      <c r="W106" s="1"/>
      <c r="X106" s="1"/>
    </row>
    <row r="107" spans="21:24" ht="12.75" customHeight="1">
      <c r="U107" s="1"/>
      <c r="V107" s="1"/>
      <c r="W107" s="1"/>
      <c r="X107" s="1"/>
    </row>
    <row r="108" spans="21:24" ht="12.75" customHeight="1">
      <c r="U108" s="1"/>
      <c r="V108" s="1"/>
      <c r="W108" s="1"/>
      <c r="X108" s="1"/>
    </row>
    <row r="109" spans="21:24" ht="12.75" customHeight="1">
      <c r="U109" s="1"/>
      <c r="V109" s="1"/>
      <c r="W109" s="1"/>
      <c r="X109" s="1"/>
    </row>
    <row r="110" spans="21:24" ht="12.75" customHeight="1">
      <c r="U110" s="1"/>
      <c r="V110" s="1"/>
      <c r="W110" s="1"/>
      <c r="X110" s="1"/>
    </row>
    <row r="111" spans="21:24" ht="12.75" customHeight="1">
      <c r="U111" s="1"/>
      <c r="V111" s="1"/>
      <c r="W111" s="1"/>
      <c r="X111" s="1"/>
    </row>
    <row r="112" spans="21:24" ht="12.75" customHeight="1">
      <c r="U112" s="1"/>
      <c r="V112" s="1"/>
      <c r="W112" s="1"/>
      <c r="X112" s="1"/>
    </row>
    <row r="113" spans="21:46" ht="12.75" customHeight="1">
      <c r="U113" s="1"/>
      <c r="V113" s="1"/>
      <c r="W113" s="1"/>
      <c r="X113" s="1"/>
    </row>
    <row r="114" spans="21:46" ht="12.75" customHeight="1">
      <c r="U114" s="1"/>
      <c r="V114" s="1"/>
      <c r="W114" s="1"/>
      <c r="X114" s="1"/>
    </row>
    <row r="115" spans="21:46" ht="12.75" customHeight="1">
      <c r="U115" s="1"/>
      <c r="V115" s="1"/>
      <c r="W115" s="1"/>
      <c r="X115" s="1"/>
    </row>
    <row r="116" spans="21:46" ht="12.75" customHeight="1">
      <c r="U116" s="1"/>
      <c r="V116" s="1"/>
      <c r="W116" s="1"/>
      <c r="X116" s="1"/>
    </row>
    <row r="117" spans="21:46" ht="12.75" customHeight="1">
      <c r="U117" s="1"/>
      <c r="V117" s="1"/>
      <c r="W117" s="1"/>
      <c r="X117" s="1"/>
    </row>
    <row r="118" spans="21:46" ht="12.75" customHeight="1">
      <c r="U118" s="1"/>
      <c r="V118" s="1"/>
      <c r="W118" s="1"/>
      <c r="X118" s="1"/>
    </row>
    <row r="119" spans="21:46" ht="12.75" customHeight="1">
      <c r="U119" s="1"/>
      <c r="V119" s="1"/>
      <c r="W119" s="1"/>
      <c r="X119" s="1"/>
    </row>
    <row r="120" spans="21:46" ht="12.75" customHeight="1">
      <c r="U120" s="1"/>
      <c r="V120" s="1"/>
      <c r="W120" s="1"/>
      <c r="X120" s="1"/>
    </row>
    <row r="121" spans="21:46" ht="12.75" customHeight="1">
      <c r="U121" s="1"/>
      <c r="V121" s="1"/>
      <c r="W121" s="1"/>
      <c r="X121" s="1"/>
    </row>
    <row r="122" spans="21:46" ht="12.75" customHeight="1">
      <c r="U122" s="1"/>
      <c r="V122" s="1"/>
      <c r="W122" s="1"/>
      <c r="X122" s="1"/>
    </row>
    <row r="123" spans="21:46" ht="12.75" customHeight="1">
      <c r="U123" s="1"/>
      <c r="V123" s="1"/>
      <c r="W123" s="1"/>
      <c r="X123" s="1"/>
    </row>
    <row r="124" spans="21:46" ht="12.75" customHeight="1">
      <c r="U124" s="1"/>
      <c r="V124" s="1"/>
      <c r="W124" s="1"/>
      <c r="X124" s="1"/>
    </row>
    <row r="125" spans="21:46" ht="12.75" customHeight="1">
      <c r="U125" s="1"/>
      <c r="V125" s="1"/>
      <c r="W125" s="1"/>
      <c r="X125" s="1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</row>
    <row r="126" spans="21:46" ht="12.75" customHeight="1">
      <c r="U126" s="1"/>
      <c r="V126" s="1"/>
      <c r="W126" s="1"/>
      <c r="X126" s="1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</row>
  </sheetData>
  <sheetProtection password="C634" sheet="1" objects="1" scenarios="1" selectLockedCells="1"/>
  <protectedRanges>
    <protectedRange sqref="U35:AC38 AS35:AZ38 BE42:BH43 AN42:AR43 AF42:AI43 T42:W43 P42:S43" name="Диапазон1" securityDescriptor=""/>
  </protectedRanges>
  <mergeCells count="346">
    <mergeCell ref="B9:F9"/>
    <mergeCell ref="G9:I9"/>
    <mergeCell ref="J9:K9"/>
    <mergeCell ref="L9:M9"/>
    <mergeCell ref="P9:U9"/>
    <mergeCell ref="V9:Y9"/>
    <mergeCell ref="B10:F10"/>
    <mergeCell ref="G10:I10"/>
    <mergeCell ref="J10:K10"/>
    <mergeCell ref="L10:M10"/>
    <mergeCell ref="B11:F11"/>
    <mergeCell ref="G11:I11"/>
    <mergeCell ref="J11:K11"/>
    <mergeCell ref="L11:M11"/>
    <mergeCell ref="B12:F12"/>
    <mergeCell ref="G12:I12"/>
    <mergeCell ref="J12:K12"/>
    <mergeCell ref="L12:M12"/>
    <mergeCell ref="B13:F13"/>
    <mergeCell ref="G13:I13"/>
    <mergeCell ref="J13:K13"/>
    <mergeCell ref="L13:M13"/>
    <mergeCell ref="P13:T13"/>
    <mergeCell ref="U13:V13"/>
    <mergeCell ref="W13:X13"/>
    <mergeCell ref="B14:F14"/>
    <mergeCell ref="G14:I14"/>
    <mergeCell ref="J14:K14"/>
    <mergeCell ref="L14:M14"/>
    <mergeCell ref="P14:T14"/>
    <mergeCell ref="U14:V14"/>
    <mergeCell ref="W14:X14"/>
    <mergeCell ref="B15:F15"/>
    <mergeCell ref="G15:I15"/>
    <mergeCell ref="J15:K15"/>
    <mergeCell ref="L15:M15"/>
    <mergeCell ref="P15:T15"/>
    <mergeCell ref="U15:V15"/>
    <mergeCell ref="W15:X15"/>
    <mergeCell ref="B16:F16"/>
    <mergeCell ref="G16:I16"/>
    <mergeCell ref="J16:K16"/>
    <mergeCell ref="L16:M16"/>
    <mergeCell ref="P16:T16"/>
    <mergeCell ref="U16:V16"/>
    <mergeCell ref="W16:X16"/>
    <mergeCell ref="B17:F17"/>
    <mergeCell ref="G17:I17"/>
    <mergeCell ref="J17:K17"/>
    <mergeCell ref="L17:M17"/>
    <mergeCell ref="P17:T17"/>
    <mergeCell ref="U17:V17"/>
    <mergeCell ref="W17:X17"/>
    <mergeCell ref="B18:F18"/>
    <mergeCell ref="G18:I18"/>
    <mergeCell ref="J18:K18"/>
    <mergeCell ref="L18:M18"/>
    <mergeCell ref="P18:T18"/>
    <mergeCell ref="U18:V18"/>
    <mergeCell ref="W18:X18"/>
    <mergeCell ref="B19:F19"/>
    <mergeCell ref="G19:I19"/>
    <mergeCell ref="J19:K19"/>
    <mergeCell ref="L19:M19"/>
    <mergeCell ref="P19:T19"/>
    <mergeCell ref="U19:V19"/>
    <mergeCell ref="W19:X19"/>
    <mergeCell ref="B20:F20"/>
    <mergeCell ref="G20:I20"/>
    <mergeCell ref="J20:K20"/>
    <mergeCell ref="L20:M20"/>
    <mergeCell ref="P20:T20"/>
    <mergeCell ref="U20:V20"/>
    <mergeCell ref="W20:X20"/>
    <mergeCell ref="B21:F21"/>
    <mergeCell ref="G21:I21"/>
    <mergeCell ref="J21:K21"/>
    <mergeCell ref="L21:M21"/>
    <mergeCell ref="P21:T21"/>
    <mergeCell ref="U21:V21"/>
    <mergeCell ref="W21:X21"/>
    <mergeCell ref="B22:F22"/>
    <mergeCell ref="G22:I22"/>
    <mergeCell ref="J22:K22"/>
    <mergeCell ref="L22:M22"/>
    <mergeCell ref="P22:T22"/>
    <mergeCell ref="U22:V22"/>
    <mergeCell ref="W22:X22"/>
    <mergeCell ref="B23:F23"/>
    <mergeCell ref="G23:I23"/>
    <mergeCell ref="J23:K23"/>
    <mergeCell ref="L23:M23"/>
    <mergeCell ref="B24:F24"/>
    <mergeCell ref="G24:I24"/>
    <mergeCell ref="J24:K24"/>
    <mergeCell ref="L24:M24"/>
    <mergeCell ref="P24:T24"/>
    <mergeCell ref="U24:V24"/>
    <mergeCell ref="W24:X24"/>
    <mergeCell ref="B25:F25"/>
    <mergeCell ref="G25:I25"/>
    <mergeCell ref="J25:K25"/>
    <mergeCell ref="L25:M25"/>
    <mergeCell ref="P25:T25"/>
    <mergeCell ref="U25:V25"/>
    <mergeCell ref="W25:X25"/>
    <mergeCell ref="B26:F26"/>
    <mergeCell ref="G26:I26"/>
    <mergeCell ref="J26:K26"/>
    <mergeCell ref="L26:M26"/>
    <mergeCell ref="P26:T26"/>
    <mergeCell ref="U26:V26"/>
    <mergeCell ref="W26:X26"/>
    <mergeCell ref="B27:F27"/>
    <mergeCell ref="G27:I27"/>
    <mergeCell ref="J27:K27"/>
    <mergeCell ref="L27:M27"/>
    <mergeCell ref="P27:T27"/>
    <mergeCell ref="V27:W27"/>
    <mergeCell ref="L32:M32"/>
    <mergeCell ref="B33:F33"/>
    <mergeCell ref="G33:I33"/>
    <mergeCell ref="J33:K33"/>
    <mergeCell ref="L33:M33"/>
    <mergeCell ref="B28:F28"/>
    <mergeCell ref="G28:I28"/>
    <mergeCell ref="J28:K28"/>
    <mergeCell ref="L28:M28"/>
    <mergeCell ref="B29:F29"/>
    <mergeCell ref="G29:I29"/>
    <mergeCell ref="J29:K29"/>
    <mergeCell ref="L29:M29"/>
    <mergeCell ref="B30:F30"/>
    <mergeCell ref="G30:I30"/>
    <mergeCell ref="J30:K30"/>
    <mergeCell ref="L30:M30"/>
    <mergeCell ref="B39:F39"/>
    <mergeCell ref="G39:I39"/>
    <mergeCell ref="J39:K39"/>
    <mergeCell ref="L39:M39"/>
    <mergeCell ref="B34:F34"/>
    <mergeCell ref="G34:I34"/>
    <mergeCell ref="J34:K34"/>
    <mergeCell ref="L34:M34"/>
    <mergeCell ref="B35:F35"/>
    <mergeCell ref="G35:I35"/>
    <mergeCell ref="J35:K35"/>
    <mergeCell ref="L35:M35"/>
    <mergeCell ref="B36:F36"/>
    <mergeCell ref="G36:I36"/>
    <mergeCell ref="J36:K36"/>
    <mergeCell ref="L36:M36"/>
    <mergeCell ref="B40:F40"/>
    <mergeCell ref="G40:I40"/>
    <mergeCell ref="J40:K40"/>
    <mergeCell ref="L40:M40"/>
    <mergeCell ref="P40:AA40"/>
    <mergeCell ref="AB40:AM40"/>
    <mergeCell ref="AS40:BD40"/>
    <mergeCell ref="BI40:BP40"/>
    <mergeCell ref="B41:F41"/>
    <mergeCell ref="G41:I41"/>
    <mergeCell ref="J41:K41"/>
    <mergeCell ref="L41:M41"/>
    <mergeCell ref="P41:S41"/>
    <mergeCell ref="T41:W41"/>
    <mergeCell ref="X41:AA41"/>
    <mergeCell ref="AB41:AE41"/>
    <mergeCell ref="AF41:AI41"/>
    <mergeCell ref="AJ41:AM41"/>
    <mergeCell ref="AS41:AV41"/>
    <mergeCell ref="AW41:AZ41"/>
    <mergeCell ref="BA41:BD41"/>
    <mergeCell ref="BI41:BL41"/>
    <mergeCell ref="BM41:BP41"/>
    <mergeCell ref="B42:F42"/>
    <mergeCell ref="G42:I42"/>
    <mergeCell ref="J42:K42"/>
    <mergeCell ref="L42:M42"/>
    <mergeCell ref="B43:F43"/>
    <mergeCell ref="G43:I43"/>
    <mergeCell ref="J43:K43"/>
    <mergeCell ref="L43:M43"/>
    <mergeCell ref="B44:F44"/>
    <mergeCell ref="G44:I44"/>
    <mergeCell ref="J44:K44"/>
    <mergeCell ref="L44:M44"/>
    <mergeCell ref="B45:F45"/>
    <mergeCell ref="G45:I45"/>
    <mergeCell ref="J45:K45"/>
    <mergeCell ref="L45:M45"/>
    <mergeCell ref="B46:F46"/>
    <mergeCell ref="G46:I46"/>
    <mergeCell ref="J46:K46"/>
    <mergeCell ref="L46:M46"/>
    <mergeCell ref="B47:F47"/>
    <mergeCell ref="G47:I47"/>
    <mergeCell ref="J47:K47"/>
    <mergeCell ref="L47:M47"/>
    <mergeCell ref="B48:F48"/>
    <mergeCell ref="G48:I48"/>
    <mergeCell ref="J48:K48"/>
    <mergeCell ref="L48:M48"/>
    <mergeCell ref="B49:F49"/>
    <mergeCell ref="G49:I49"/>
    <mergeCell ref="J49:K49"/>
    <mergeCell ref="L49:M49"/>
    <mergeCell ref="B50:F50"/>
    <mergeCell ref="G50:I50"/>
    <mergeCell ref="J50:K50"/>
    <mergeCell ref="L50:M50"/>
    <mergeCell ref="B51:F51"/>
    <mergeCell ref="G51:I51"/>
    <mergeCell ref="J51:K51"/>
    <mergeCell ref="L51:M51"/>
    <mergeCell ref="B52:F52"/>
    <mergeCell ref="G52:I52"/>
    <mergeCell ref="J52:K52"/>
    <mergeCell ref="L52:M52"/>
    <mergeCell ref="B53:F53"/>
    <mergeCell ref="G53:I53"/>
    <mergeCell ref="J53:K53"/>
    <mergeCell ref="L53:M53"/>
    <mergeCell ref="B54:F54"/>
    <mergeCell ref="G54:I54"/>
    <mergeCell ref="J54:K54"/>
    <mergeCell ref="L54:M54"/>
    <mergeCell ref="B55:F55"/>
    <mergeCell ref="G55:I55"/>
    <mergeCell ref="J55:K55"/>
    <mergeCell ref="L55:M55"/>
    <mergeCell ref="B56:F56"/>
    <mergeCell ref="G56:I56"/>
    <mergeCell ref="J56:K56"/>
    <mergeCell ref="L56:M56"/>
    <mergeCell ref="B57:F57"/>
    <mergeCell ref="G57:I57"/>
    <mergeCell ref="J57:K57"/>
    <mergeCell ref="L57:M57"/>
    <mergeCell ref="B58:F58"/>
    <mergeCell ref="G58:I58"/>
    <mergeCell ref="J58:K58"/>
    <mergeCell ref="L58:M58"/>
    <mergeCell ref="B59:F59"/>
    <mergeCell ref="G59:I59"/>
    <mergeCell ref="J59:K59"/>
    <mergeCell ref="L59:M59"/>
    <mergeCell ref="B60:F60"/>
    <mergeCell ref="G60:I60"/>
    <mergeCell ref="J60:K60"/>
    <mergeCell ref="L60:M60"/>
    <mergeCell ref="B61:F61"/>
    <mergeCell ref="G61:I61"/>
    <mergeCell ref="J61:K61"/>
    <mergeCell ref="L61:M61"/>
    <mergeCell ref="B62:F62"/>
    <mergeCell ref="G62:I62"/>
    <mergeCell ref="J62:K62"/>
    <mergeCell ref="L62:M62"/>
    <mergeCell ref="B63:F63"/>
    <mergeCell ref="G63:I63"/>
    <mergeCell ref="J63:K63"/>
    <mergeCell ref="L63:M63"/>
    <mergeCell ref="B64:F64"/>
    <mergeCell ref="G64:I64"/>
    <mergeCell ref="J64:K64"/>
    <mergeCell ref="L64:M64"/>
    <mergeCell ref="B65:F65"/>
    <mergeCell ref="G65:I65"/>
    <mergeCell ref="J65:K65"/>
    <mergeCell ref="L65:M65"/>
    <mergeCell ref="B66:F66"/>
    <mergeCell ref="G66:I66"/>
    <mergeCell ref="J66:K66"/>
    <mergeCell ref="L66:M66"/>
    <mergeCell ref="B67:F67"/>
    <mergeCell ref="G67:I67"/>
    <mergeCell ref="J67:K67"/>
    <mergeCell ref="L67:M67"/>
    <mergeCell ref="B68:F68"/>
    <mergeCell ref="G68:I68"/>
    <mergeCell ref="J68:K68"/>
    <mergeCell ref="L68:M68"/>
    <mergeCell ref="B69:F69"/>
    <mergeCell ref="G69:I69"/>
    <mergeCell ref="J69:K69"/>
    <mergeCell ref="L69:M69"/>
    <mergeCell ref="B70:F70"/>
    <mergeCell ref="G70:I70"/>
    <mergeCell ref="J70:K70"/>
    <mergeCell ref="L70:M70"/>
    <mergeCell ref="B71:F71"/>
    <mergeCell ref="G71:I71"/>
    <mergeCell ref="J71:K71"/>
    <mergeCell ref="L71:M71"/>
    <mergeCell ref="AS42:AV43"/>
    <mergeCell ref="AW42:AZ43"/>
    <mergeCell ref="BA42:BD43"/>
    <mergeCell ref="BE42:BH43"/>
    <mergeCell ref="BI42:BL43"/>
    <mergeCell ref="BM42:BP43"/>
    <mergeCell ref="BE40:BH41"/>
    <mergeCell ref="P42:S43"/>
    <mergeCell ref="T42:W43"/>
    <mergeCell ref="X42:AA43"/>
    <mergeCell ref="AB42:AE43"/>
    <mergeCell ref="AF42:AI43"/>
    <mergeCell ref="AJ42:AM43"/>
    <mergeCell ref="AN42:AR43"/>
    <mergeCell ref="AN40:AR41"/>
    <mergeCell ref="AY35:AZ36"/>
    <mergeCell ref="AY37:AZ38"/>
    <mergeCell ref="AS35:AU36"/>
    <mergeCell ref="AV35:AX36"/>
    <mergeCell ref="U37:W38"/>
    <mergeCell ref="X37:Z38"/>
    <mergeCell ref="AA37:AC38"/>
    <mergeCell ref="AS37:AU38"/>
    <mergeCell ref="AV37:AX38"/>
    <mergeCell ref="AN35:AR36"/>
    <mergeCell ref="AN37:AR38"/>
    <mergeCell ref="U35:AC36"/>
    <mergeCell ref="P7:T8"/>
    <mergeCell ref="U7:Y8"/>
    <mergeCell ref="P37:T38"/>
    <mergeCell ref="P10:T11"/>
    <mergeCell ref="U10:Y11"/>
    <mergeCell ref="J7:M8"/>
    <mergeCell ref="B7:F8"/>
    <mergeCell ref="G7:I8"/>
    <mergeCell ref="P35:T36"/>
    <mergeCell ref="B37:F37"/>
    <mergeCell ref="G37:I37"/>
    <mergeCell ref="J37:K37"/>
    <mergeCell ref="L37:M37"/>
    <mergeCell ref="B38:F38"/>
    <mergeCell ref="G38:I38"/>
    <mergeCell ref="J38:K38"/>
    <mergeCell ref="L38:M38"/>
    <mergeCell ref="B31:F31"/>
    <mergeCell ref="G31:I31"/>
    <mergeCell ref="J31:K31"/>
    <mergeCell ref="L31:M31"/>
    <mergeCell ref="B32:F32"/>
    <mergeCell ref="G32:I32"/>
    <mergeCell ref="J32:K32"/>
  </mergeCells>
  <conditionalFormatting sqref="B9:F71">
    <cfRule type="expression" dxfId="5" priority="1" stopIfTrue="1">
      <formula>G9=""</formula>
    </cfRule>
  </conditionalFormatting>
  <conditionalFormatting sqref="G9:M71">
    <cfRule type="cellIs" dxfId="4" priority="2" stopIfTrue="1" operator="equal">
      <formula>""</formula>
    </cfRule>
  </conditionalFormatting>
  <conditionalFormatting sqref="P9:U9">
    <cfRule type="cellIs" dxfId="3" priority="3" stopIfTrue="1" operator="lessThan">
      <formula>0</formula>
    </cfRule>
  </conditionalFormatting>
  <conditionalFormatting sqref="V9:Y9">
    <cfRule type="expression" dxfId="2" priority="4" stopIfTrue="1">
      <formula>$P$9&lt;0</formula>
    </cfRule>
  </conditionalFormatting>
  <conditionalFormatting sqref="U7:Y8">
    <cfRule type="expression" dxfId="1" priority="5" stopIfTrue="1">
      <formula>$P$9&lt;0</formula>
    </cfRule>
  </conditionalFormatting>
  <conditionalFormatting sqref="AN42:AR43">
    <cfRule type="expression" dxfId="0" priority="6" stopIfTrue="1">
      <formula>$P$9&lt;0</formula>
    </cfRule>
  </conditionalFormatting>
  <dataValidations count="3">
    <dataValidation type="list" allowBlank="1" showInputMessage="1" showErrorMessage="1" sqref="AY35:AZ36">
      <formula1>"N,S"</formula1>
    </dataValidation>
    <dataValidation type="list" allowBlank="1" showInputMessage="1" showErrorMessage="1" sqref="AY37:AZ38">
      <formula1>"E,W"</formula1>
    </dataValidation>
    <dataValidation type="list" allowBlank="1" showInputMessage="1" showErrorMessage="1" sqref="AN42:AR43">
      <formula1>$B$9:$B$71</formula1>
    </dataValidation>
  </dataValidations>
  <printOptions horizontalCentered="1"/>
  <pageMargins left="0.39305555555555599" right="0.39305555555555599" top="0.39305555555555599" bottom="0.51180555555555596" header="0.31388888888888899" footer="0.31388888888888899"/>
  <pageSetup paperSize="9" scale="105" orientation="landscape" blackAndWhite="1" errors="blank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Spinner 30">
              <controlPr defaultSize="0" autoPict="0">
                <anchor moveWithCells="1" sizeWithCells="1">
                  <from>
                    <xdr:col>29</xdr:col>
                    <xdr:colOff>180975</xdr:colOff>
                    <xdr:row>34</xdr:row>
                    <xdr:rowOff>190500</xdr:rowOff>
                  </from>
                  <to>
                    <xdr:col>31</xdr:col>
                    <xdr:colOff>190500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Group Box 31">
              <controlPr defaultSize="0" autoPict="0">
                <anchor moveWithCells="1" sizeWithCells="1">
                  <from>
                    <xdr:col>29</xdr:col>
                    <xdr:colOff>142875</xdr:colOff>
                    <xdr:row>34</xdr:row>
                    <xdr:rowOff>104775</xdr:rowOff>
                  </from>
                  <to>
                    <xdr:col>36</xdr:col>
                    <xdr:colOff>47625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Label 32">
              <controlPr defaultSize="0" autoPict="0">
                <anchor moveWithCells="1" sizeWithCells="1">
                  <from>
                    <xdr:col>29</xdr:col>
                    <xdr:colOff>228600</xdr:colOff>
                    <xdr:row>36</xdr:row>
                    <xdr:rowOff>152400</xdr:rowOff>
                  </from>
                  <to>
                    <xdr:col>31</xdr:col>
                    <xdr:colOff>171450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pinner 33">
              <controlPr defaultSize="0" autoPict="0">
                <anchor moveWithCells="1" sizeWithCells="1">
                  <from>
                    <xdr:col>31</xdr:col>
                    <xdr:colOff>219075</xdr:colOff>
                    <xdr:row>34</xdr:row>
                    <xdr:rowOff>190500</xdr:rowOff>
                  </from>
                  <to>
                    <xdr:col>33</xdr:col>
                    <xdr:colOff>228600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Label 34">
              <controlPr defaultSize="0" autoPict="0">
                <anchor moveWithCells="1" sizeWithCells="1">
                  <from>
                    <xdr:col>32</xdr:col>
                    <xdr:colOff>38100</xdr:colOff>
                    <xdr:row>36</xdr:row>
                    <xdr:rowOff>152400</xdr:rowOff>
                  </from>
                  <to>
                    <xdr:col>33</xdr:col>
                    <xdr:colOff>133350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Spinner 35">
              <controlPr defaultSize="0" autoPict="0">
                <anchor moveWithCells="1" sizeWithCells="1">
                  <from>
                    <xdr:col>33</xdr:col>
                    <xdr:colOff>266700</xdr:colOff>
                    <xdr:row>34</xdr:row>
                    <xdr:rowOff>190500</xdr:rowOff>
                  </from>
                  <to>
                    <xdr:col>35</xdr:col>
                    <xdr:colOff>276225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Label 36">
              <controlPr defaultSize="0" autoPict="0">
                <anchor moveWithCells="1" sizeWithCells="1">
                  <from>
                    <xdr:col>34</xdr:col>
                    <xdr:colOff>123825</xdr:colOff>
                    <xdr:row>36</xdr:row>
                    <xdr:rowOff>152400</xdr:rowOff>
                  </from>
                  <to>
                    <xdr:col>35</xdr:col>
                    <xdr:colOff>209550</xdr:colOff>
                    <xdr:row>37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TABLE (observations)</vt:lpstr>
      <vt:lpstr>OBSERVATIONS</vt:lpstr>
      <vt:lpstr>OBSERVATIONS!Print_Area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Nikos Popandopalas</dc:creator>
  <cp:lastModifiedBy>User</cp:lastModifiedBy>
  <dcterms:created xsi:type="dcterms:W3CDTF">2015-12-22T07:36:52Z</dcterms:created>
  <dcterms:modified xsi:type="dcterms:W3CDTF">2023-09-03T23:50:13Z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2052-9.1.0.4468</vt:lpwstr>
  </property>
</Properties>
</file>